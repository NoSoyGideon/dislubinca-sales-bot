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proyectos\Dislubin\Supervisor\"/>
    </mc:Choice>
  </mc:AlternateContent>
  <xr:revisionPtr revIDLastSave="0" documentId="13_ncr:1_{27B82D67-E8F1-4B5A-A2CF-7579B9DC280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NTROL" sheetId="1" r:id="rId1"/>
    <sheet name="Plantilla" sheetId="3" r:id="rId2"/>
  </sheets>
  <definedNames>
    <definedName name="fecha" localSheetId="1">Plantilla!$G$4</definedName>
    <definedName name="fech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4" i="3" l="1"/>
  <c r="J4" i="3"/>
  <c r="S40" i="3"/>
  <c r="S31" i="3"/>
  <c r="S32" i="3"/>
  <c r="S33" i="3"/>
  <c r="S34" i="3"/>
  <c r="S35" i="3"/>
  <c r="S36" i="3"/>
  <c r="S30" i="3"/>
  <c r="R30" i="3"/>
  <c r="T30" i="3"/>
  <c r="R31" i="3"/>
  <c r="T31" i="3"/>
  <c r="U31" i="3" s="1"/>
  <c r="F10" i="3" s="1"/>
  <c r="R32" i="3"/>
  <c r="U32" i="3" s="1"/>
  <c r="G10" i="3" s="1"/>
  <c r="T32" i="3"/>
  <c r="R33" i="3"/>
  <c r="U33" i="3" s="1"/>
  <c r="K10" i="3" s="1"/>
  <c r="T33" i="3"/>
  <c r="R34" i="3"/>
  <c r="U34" i="3" s="1"/>
  <c r="H10" i="3" s="1"/>
  <c r="T34" i="3"/>
  <c r="R35" i="3"/>
  <c r="T35" i="3"/>
  <c r="R36" i="3"/>
  <c r="T36" i="3"/>
  <c r="U36" i="3"/>
  <c r="J10" i="3" s="1"/>
  <c r="V36" i="3"/>
  <c r="W10" i="3"/>
  <c r="W11" i="3"/>
  <c r="W12" i="3"/>
  <c r="W13" i="3"/>
  <c r="W14" i="3"/>
  <c r="W15" i="3"/>
  <c r="W16" i="3"/>
  <c r="W17" i="3"/>
  <c r="W18" i="3"/>
  <c r="W19" i="3"/>
  <c r="W20" i="3"/>
  <c r="W9" i="3"/>
  <c r="R40" i="3"/>
  <c r="U40" i="3" s="1"/>
  <c r="L10" i="3" s="1"/>
  <c r="V42" i="3"/>
  <c r="W42" i="3"/>
  <c r="T40" i="3"/>
  <c r="V37" i="3"/>
  <c r="W37" i="3"/>
  <c r="V10" i="3"/>
  <c r="V11" i="3"/>
  <c r="V12" i="3"/>
  <c r="V13" i="3"/>
  <c r="V14" i="3"/>
  <c r="V15" i="3"/>
  <c r="V16" i="3"/>
  <c r="V17" i="3"/>
  <c r="V18" i="3"/>
  <c r="V19" i="3"/>
  <c r="V20" i="3"/>
  <c r="V9" i="3"/>
  <c r="R21" i="3"/>
  <c r="S21" i="3"/>
  <c r="T21" i="3"/>
  <c r="U21" i="3"/>
  <c r="Q21" i="3"/>
  <c r="M27" i="3"/>
  <c r="M26" i="3"/>
  <c r="H29" i="3" s="1"/>
  <c r="M25" i="3"/>
  <c r="M24" i="3"/>
  <c r="H28" i="3" s="1"/>
  <c r="L22" i="3"/>
  <c r="K23" i="3"/>
  <c r="J23" i="3"/>
  <c r="I23" i="3"/>
  <c r="H23" i="3"/>
  <c r="G23" i="3"/>
  <c r="F23" i="3"/>
  <c r="L19" i="3"/>
  <c r="K19" i="3"/>
  <c r="J19" i="3"/>
  <c r="I19" i="3"/>
  <c r="H19" i="3"/>
  <c r="G19" i="3"/>
  <c r="F19" i="3"/>
  <c r="E19" i="3"/>
  <c r="M18" i="3"/>
  <c r="M19" i="3" s="1"/>
  <c r="M17" i="3"/>
  <c r="L16" i="3"/>
  <c r="K16" i="3"/>
  <c r="J16" i="3"/>
  <c r="I16" i="3"/>
  <c r="H16" i="3"/>
  <c r="G16" i="3"/>
  <c r="F16" i="3"/>
  <c r="E16" i="3"/>
  <c r="M15" i="3"/>
  <c r="M14" i="3"/>
  <c r="L13" i="3"/>
  <c r="K13" i="3"/>
  <c r="J13" i="3"/>
  <c r="I13" i="3"/>
  <c r="H13" i="3"/>
  <c r="G13" i="3"/>
  <c r="F13" i="3"/>
  <c r="E13" i="3"/>
  <c r="M12" i="3"/>
  <c r="M13" i="3" s="1"/>
  <c r="M11" i="3"/>
  <c r="M10" i="3"/>
  <c r="L8" i="3"/>
  <c r="K8" i="3"/>
  <c r="J8" i="3"/>
  <c r="I8" i="3"/>
  <c r="H8" i="3"/>
  <c r="G8" i="3"/>
  <c r="F8" i="3"/>
  <c r="E8" i="3"/>
  <c r="U35" i="3" l="1"/>
  <c r="I10" i="3" s="1"/>
  <c r="U30" i="3"/>
  <c r="E10" i="3" s="1"/>
  <c r="S37" i="3"/>
  <c r="S42" i="3" s="1"/>
  <c r="R37" i="3"/>
  <c r="R42" i="3" s="1"/>
  <c r="T37" i="3"/>
  <c r="T42" i="3" s="1"/>
  <c r="V21" i="3"/>
  <c r="W21" i="3"/>
  <c r="M21" i="3"/>
  <c r="L23" i="3"/>
  <c r="M16" i="3"/>
  <c r="E23" i="3"/>
  <c r="M8" i="3"/>
  <c r="M22" i="3"/>
  <c r="U37" i="3" l="1"/>
  <c r="U42" i="3" s="1"/>
  <c r="R22" i="1"/>
  <c r="R23" i="1"/>
  <c r="H4" i="3" l="1"/>
  <c r="L4" i="3" s="1"/>
  <c r="I4" i="3"/>
</calcChain>
</file>

<file path=xl/sharedStrings.xml><?xml version="1.0" encoding="utf-8"?>
<sst xmlns="http://schemas.openxmlformats.org/spreadsheetml/2006/main" count="97" uniqueCount="65">
  <si>
    <t>Ruta</t>
  </si>
  <si>
    <t>Vendedor</t>
  </si>
  <si>
    <t>Cuota</t>
  </si>
  <si>
    <t>Sup</t>
  </si>
  <si>
    <t>Giovanny Valbuena</t>
  </si>
  <si>
    <t>Rumaldo Medina</t>
  </si>
  <si>
    <t>Alfredo Stuch</t>
  </si>
  <si>
    <t>Cuota del supervisor</t>
  </si>
  <si>
    <t>Cuota Total</t>
  </si>
  <si>
    <t>Ventas hasta la fecha:</t>
  </si>
  <si>
    <t>UDVD</t>
  </si>
  <si>
    <t>P/facturar</t>
  </si>
  <si>
    <t>CUOTA SUP</t>
  </si>
  <si>
    <t>CUOTA</t>
  </si>
  <si>
    <t>AVANCE</t>
  </si>
  <si>
    <t>TRANSCURRIDO</t>
  </si>
  <si>
    <t>FAT. X VENDER</t>
  </si>
  <si>
    <t>Cuota de vendedores</t>
  </si>
  <si>
    <t>DESCRIPCION</t>
  </si>
  <si>
    <t>R-10</t>
  </si>
  <si>
    <t>R-15</t>
  </si>
  <si>
    <t>R-17</t>
  </si>
  <si>
    <t>R-30</t>
  </si>
  <si>
    <t>R-32</t>
  </si>
  <si>
    <t>R-39</t>
  </si>
  <si>
    <t>R-21</t>
  </si>
  <si>
    <t>R-26</t>
  </si>
  <si>
    <t>TOTALES</t>
  </si>
  <si>
    <t>ALCANCE</t>
  </si>
  <si>
    <t>OBJETIVOS DIA ANTERIOR</t>
  </si>
  <si>
    <t>OBJETIVO VENTA</t>
  </si>
  <si>
    <t>LOGRADO VENTA</t>
  </si>
  <si>
    <t>% LOGRADO</t>
  </si>
  <si>
    <t>OBJETIVO ACT</t>
  </si>
  <si>
    <t>LOGRADO ACT</t>
  </si>
  <si>
    <t>OBJETIVO CxC</t>
  </si>
  <si>
    <t>LOGRADO CXC</t>
  </si>
  <si>
    <t>INCIDENCIAS</t>
  </si>
  <si>
    <t>Cuentas x Criticas</t>
  </si>
  <si>
    <t>Logrado</t>
  </si>
  <si>
    <t>% de logro</t>
  </si>
  <si>
    <t>OBJETIVOS</t>
  </si>
  <si>
    <t>VISITAS</t>
  </si>
  <si>
    <t>OBJETIVO Criticas</t>
  </si>
  <si>
    <t>Total de cajas a Buscar HOY:</t>
  </si>
  <si>
    <t>Total de cobranza para Hoy:</t>
  </si>
  <si>
    <t>Fecha de hoy</t>
  </si>
  <si>
    <t>Objetivo de cobranza</t>
  </si>
  <si>
    <t xml:space="preserve">Cobrado Lunes </t>
  </si>
  <si>
    <t xml:space="preserve">Cobrado Martes </t>
  </si>
  <si>
    <t>Cobrado Miercoles</t>
  </si>
  <si>
    <t>Cobrado Jueves</t>
  </si>
  <si>
    <t>% De Cumplimiento</t>
  </si>
  <si>
    <t>Total CxC [Fecha]</t>
  </si>
  <si>
    <t>SUB TOTAL</t>
  </si>
  <si>
    <t>Cuota UDVD</t>
  </si>
  <si>
    <t>Cuota $</t>
  </si>
  <si>
    <t>Resumen Cuotas y Observaciones para Seguimiento</t>
  </si>
  <si>
    <t>Total Cuota Supervisor</t>
  </si>
  <si>
    <t>Rutas</t>
  </si>
  <si>
    <t>% Avances</t>
  </si>
  <si>
    <t>Cuota Cobranza</t>
  </si>
  <si>
    <t>Peso Ruta</t>
  </si>
  <si>
    <t>Logrado log</t>
  </si>
  <si>
    <t>Total Cuota 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</si>
</sst>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??_ ;_ @_ "/>
    <numFmt numFmtId="165" formatCode="_ * #,##0.00_ ;_ * \-#,##0.00_ ;_ * &quot;-&quot;??_ ;_ @_ "/>
    <numFmt numFmtId="166" formatCode="[$$-409]#,##0.00"/>
    <numFmt numFmtId="167" formatCode="[$$-540A]#,##0.00"/>
    <numFmt numFmtId="168" formatCode="&quot;$&quot;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haroni"/>
      <charset val="177"/>
    </font>
    <font>
      <sz val="11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2"/>
      <color theme="1" tint="0.14999847407452621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FDF0E9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 tint="0.249977111117893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2F30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F0E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theme="1" tint="0.34998626667073579"/>
      </bottom>
      <diagonal/>
    </border>
    <border>
      <left style="thin">
        <color theme="1" tint="0.34998626667073579"/>
      </left>
      <right/>
      <top/>
      <bottom style="double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double">
        <color theme="1" tint="0.34998626667073579"/>
      </bottom>
      <diagonal/>
    </border>
    <border>
      <left/>
      <right style="thin">
        <color indexed="64"/>
      </right>
      <top/>
      <bottom style="double">
        <color theme="1" tint="0.34998626667073579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theme="1" tint="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theme="1" tint="0.34998626667073579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1" tint="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1" tint="0.34998626667073579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thin">
        <color theme="0" tint="-4.9989318521683403E-2"/>
      </right>
      <top style="medium">
        <color theme="1" tint="0.34998626667073579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0" tint="-4.9989318521683403E-2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0" tint="-4.9989318521683403E-2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/>
      <right/>
      <top style="thin">
        <color theme="1" tint="0.34998626667073579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thin">
        <color theme="1" tint="0.34998626667073579"/>
      </top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indexed="64"/>
      </bottom>
      <diagonal/>
    </border>
    <border>
      <left/>
      <right/>
      <top style="medium">
        <color theme="1" tint="0.34998626667073579"/>
      </top>
      <bottom style="medium">
        <color indexed="64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indexed="64"/>
      </bottom>
      <diagonal/>
    </border>
    <border>
      <left style="medium">
        <color theme="1" tint="0.3499862666707357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 tint="0.34998626667073579"/>
      </right>
      <top/>
      <bottom style="thin">
        <color indexed="64"/>
      </bottom>
      <diagonal/>
    </border>
    <border>
      <left style="thin">
        <color indexed="64"/>
      </left>
      <right style="medium">
        <color theme="1" tint="0.34998626667073579"/>
      </right>
      <top style="medium">
        <color indexed="64"/>
      </top>
      <bottom style="thin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thin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/>
      <diagonal/>
    </border>
    <border>
      <left style="medium">
        <color theme="1" tint="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medium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 style="medium">
        <color theme="1" tint="0.3499862666707357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1" tint="0.34998626667073579"/>
      </bottom>
      <diagonal/>
    </border>
    <border>
      <left style="thin">
        <color indexed="64"/>
      </left>
      <right/>
      <top style="medium">
        <color indexed="64"/>
      </top>
      <bottom style="medium">
        <color theme="1" tint="0.34998626667073579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medium">
        <color theme="1" tint="0.34998626667073579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8" fillId="0" borderId="0"/>
  </cellStyleXfs>
  <cellXfs count="156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3" fontId="0" fillId="3" borderId="0" xfId="0" applyNumberFormat="1" applyFill="1"/>
    <xf numFmtId="0" fontId="4" fillId="3" borderId="0" xfId="0" applyFont="1" applyFill="1"/>
    <xf numFmtId="0" fontId="3" fillId="5" borderId="2" xfId="0" applyFont="1" applyFill="1" applyBorder="1" applyAlignment="1">
      <alignment horizontal="left" vertical="top"/>
    </xf>
    <xf numFmtId="3" fontId="5" fillId="6" borderId="3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0" fontId="0" fillId="5" borderId="0" xfId="0" applyFill="1"/>
    <xf numFmtId="0" fontId="0" fillId="6" borderId="0" xfId="0" applyFill="1"/>
    <xf numFmtId="2" fontId="6" fillId="6" borderId="4" xfId="0" applyNumberFormat="1" applyFont="1" applyFill="1" applyBorder="1" applyAlignment="1">
      <alignment horizontal="center" vertical="center"/>
    </xf>
    <xf numFmtId="10" fontId="6" fillId="6" borderId="4" xfId="2" applyNumberFormat="1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10" fontId="6" fillId="6" borderId="4" xfId="2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0" fillId="0" borderId="8" xfId="0" applyNumberFormat="1" applyBorder="1"/>
    <xf numFmtId="166" fontId="6" fillId="0" borderId="8" xfId="0" applyNumberFormat="1" applyFont="1" applyBorder="1"/>
    <xf numFmtId="0" fontId="0" fillId="0" borderId="9" xfId="0" applyBorder="1"/>
    <xf numFmtId="0" fontId="0" fillId="5" borderId="9" xfId="0" applyFill="1" applyBorder="1"/>
    <xf numFmtId="0" fontId="8" fillId="0" borderId="10" xfId="0" applyFont="1" applyBorder="1"/>
    <xf numFmtId="167" fontId="6" fillId="0" borderId="5" xfId="1" applyNumberFormat="1" applyFont="1" applyBorder="1" applyAlignment="1">
      <alignment vertical="center"/>
    </xf>
    <xf numFmtId="167" fontId="6" fillId="0" borderId="11" xfId="0" applyNumberFormat="1" applyFont="1" applyBorder="1" applyAlignment="1">
      <alignment vertical="center"/>
    </xf>
    <xf numFmtId="167" fontId="6" fillId="0" borderId="5" xfId="0" applyNumberFormat="1" applyFont="1" applyBorder="1" applyAlignment="1">
      <alignment vertical="center"/>
    </xf>
    <xf numFmtId="165" fontId="6" fillId="0" borderId="8" xfId="0" applyNumberFormat="1" applyFont="1" applyBorder="1" applyAlignment="1">
      <alignment vertical="center"/>
    </xf>
    <xf numFmtId="9" fontId="2" fillId="0" borderId="12" xfId="2" applyFont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0" fillId="8" borderId="6" xfId="0" applyFill="1" applyBorder="1" applyAlignment="1">
      <alignment horizontal="center" vertical="center"/>
    </xf>
    <xf numFmtId="10" fontId="6" fillId="0" borderId="6" xfId="2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4" fontId="11" fillId="6" borderId="15" xfId="0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 wrapText="1"/>
    </xf>
    <xf numFmtId="166" fontId="6" fillId="0" borderId="17" xfId="0" applyNumberFormat="1" applyFont="1" applyBorder="1"/>
    <xf numFmtId="0" fontId="12" fillId="12" borderId="0" xfId="0" applyFont="1" applyFill="1"/>
    <xf numFmtId="0" fontId="0" fillId="12" borderId="0" xfId="0" applyFill="1"/>
    <xf numFmtId="164" fontId="6" fillId="5" borderId="0" xfId="0" applyNumberFormat="1" applyFont="1" applyFill="1" applyAlignment="1">
      <alignment vertical="center"/>
    </xf>
    <xf numFmtId="164" fontId="6" fillId="5" borderId="0" xfId="1" applyNumberFormat="1" applyFont="1" applyFill="1" applyAlignment="1">
      <alignment horizontal="center" vertical="center"/>
    </xf>
    <xf numFmtId="9" fontId="6" fillId="5" borderId="0" xfId="2" applyFont="1" applyFill="1" applyAlignment="1">
      <alignment horizontal="center" vertical="center"/>
    </xf>
    <xf numFmtId="0" fontId="0" fillId="12" borderId="0" xfId="0" applyFill="1" applyAlignment="1">
      <alignment wrapText="1"/>
    </xf>
    <xf numFmtId="0" fontId="0" fillId="5" borderId="0" xfId="0" applyFill="1" applyBorder="1"/>
    <xf numFmtId="0" fontId="0" fillId="14" borderId="35" xfId="0" applyFill="1" applyBorder="1" applyAlignment="1">
      <alignment horizontal="center" vertical="center"/>
    </xf>
    <xf numFmtId="0" fontId="0" fillId="14" borderId="36" xfId="0" applyFill="1" applyBorder="1" applyAlignment="1">
      <alignment horizontal="center" vertical="center"/>
    </xf>
    <xf numFmtId="0" fontId="0" fillId="14" borderId="37" xfId="0" applyFill="1" applyBorder="1" applyAlignment="1">
      <alignment horizontal="center" vertical="center"/>
    </xf>
    <xf numFmtId="168" fontId="0" fillId="14" borderId="32" xfId="0" applyNumberFormat="1" applyFill="1" applyBorder="1"/>
    <xf numFmtId="168" fontId="0" fillId="5" borderId="21" xfId="0" applyNumberFormat="1" applyFill="1" applyBorder="1"/>
    <xf numFmtId="168" fontId="0" fillId="14" borderId="21" xfId="0" applyNumberFormat="1" applyFill="1" applyBorder="1"/>
    <xf numFmtId="168" fontId="0" fillId="14" borderId="33" xfId="0" applyNumberFormat="1" applyFill="1" applyBorder="1"/>
    <xf numFmtId="168" fontId="0" fillId="5" borderId="20" xfId="0" applyNumberFormat="1" applyFill="1" applyBorder="1"/>
    <xf numFmtId="168" fontId="0" fillId="14" borderId="20" xfId="0" applyNumberFormat="1" applyFill="1" applyBorder="1"/>
    <xf numFmtId="168" fontId="0" fillId="14" borderId="34" xfId="0" applyNumberFormat="1" applyFill="1" applyBorder="1"/>
    <xf numFmtId="168" fontId="0" fillId="5" borderId="23" xfId="0" applyNumberFormat="1" applyFill="1" applyBorder="1"/>
    <xf numFmtId="168" fontId="0" fillId="14" borderId="23" xfId="0" applyNumberFormat="1" applyFill="1" applyBorder="1"/>
    <xf numFmtId="168" fontId="0" fillId="14" borderId="24" xfId="0" applyNumberFormat="1" applyFill="1" applyBorder="1"/>
    <xf numFmtId="0" fontId="0" fillId="13" borderId="29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 wrapText="1"/>
    </xf>
    <xf numFmtId="0" fontId="0" fillId="13" borderId="27" xfId="0" applyFill="1" applyBorder="1" applyAlignment="1">
      <alignment horizontal="center" vertical="center" wrapText="1"/>
    </xf>
    <xf numFmtId="0" fontId="0" fillId="13" borderId="31" xfId="0" applyFill="1" applyBorder="1" applyAlignment="1">
      <alignment horizontal="center" vertical="center" wrapText="1"/>
    </xf>
    <xf numFmtId="9" fontId="0" fillId="14" borderId="22" xfId="2" applyFont="1" applyFill="1" applyBorder="1"/>
    <xf numFmtId="0" fontId="0" fillId="13" borderId="41" xfId="0" applyFill="1" applyBorder="1"/>
    <xf numFmtId="168" fontId="0" fillId="13" borderId="42" xfId="0" applyNumberFormat="1" applyFill="1" applyBorder="1"/>
    <xf numFmtId="9" fontId="0" fillId="13" borderId="43" xfId="2" applyFont="1" applyFill="1" applyBorder="1"/>
    <xf numFmtId="0" fontId="13" fillId="0" borderId="0" xfId="0" applyFont="1" applyFill="1"/>
    <xf numFmtId="0" fontId="13" fillId="0" borderId="0" xfId="0" applyFont="1" applyFill="1" applyAlignment="1">
      <alignment horizontal="center" vertical="center"/>
    </xf>
    <xf numFmtId="164" fontId="13" fillId="0" borderId="0" xfId="1" applyNumberFormat="1" applyFont="1"/>
    <xf numFmtId="164" fontId="13" fillId="0" borderId="0" xfId="0" applyNumberFormat="1" applyFont="1"/>
    <xf numFmtId="0" fontId="14" fillId="0" borderId="0" xfId="0" applyFont="1" applyFill="1"/>
    <xf numFmtId="0" fontId="15" fillId="4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14" fillId="5" borderId="0" xfId="0" applyFont="1" applyFill="1"/>
    <xf numFmtId="0" fontId="13" fillId="5" borderId="0" xfId="0" applyFont="1" applyFill="1" applyAlignment="1">
      <alignment horizontal="center" vertical="center"/>
    </xf>
    <xf numFmtId="3" fontId="13" fillId="5" borderId="0" xfId="0" applyNumberFormat="1" applyFont="1" applyFill="1"/>
    <xf numFmtId="0" fontId="0" fillId="5" borderId="40" xfId="0" applyFill="1" applyBorder="1"/>
    <xf numFmtId="0" fontId="0" fillId="5" borderId="44" xfId="0" applyFill="1" applyBorder="1"/>
    <xf numFmtId="0" fontId="0" fillId="5" borderId="45" xfId="0" applyFill="1" applyBorder="1"/>
    <xf numFmtId="0" fontId="0" fillId="5" borderId="46" xfId="0" applyFill="1" applyBorder="1"/>
    <xf numFmtId="0" fontId="0" fillId="5" borderId="48" xfId="0" applyFill="1" applyBorder="1"/>
    <xf numFmtId="0" fontId="6" fillId="0" borderId="7" xfId="0" applyFont="1" applyBorder="1" applyAlignment="1">
      <alignment horizontal="right" vertical="center"/>
    </xf>
    <xf numFmtId="0" fontId="6" fillId="0" borderId="50" xfId="0" applyFont="1" applyBorder="1" applyAlignment="1">
      <alignment horizontal="center" vertical="center" wrapText="1"/>
    </xf>
    <xf numFmtId="3" fontId="6" fillId="10" borderId="51" xfId="0" applyNumberFormat="1" applyFont="1" applyFill="1" applyBorder="1" applyAlignment="1">
      <alignment horizontal="center" vertical="center"/>
    </xf>
    <xf numFmtId="3" fontId="6" fillId="10" borderId="52" xfId="0" applyNumberFormat="1" applyFont="1" applyFill="1" applyBorder="1" applyAlignment="1">
      <alignment horizontal="center" vertical="center"/>
    </xf>
    <xf numFmtId="0" fontId="0" fillId="8" borderId="53" xfId="0" applyFill="1" applyBorder="1" applyAlignment="1">
      <alignment horizontal="center" vertical="center"/>
    </xf>
    <xf numFmtId="0" fontId="0" fillId="8" borderId="54" xfId="0" applyFill="1" applyBorder="1" applyAlignment="1">
      <alignment horizontal="center" vertical="center"/>
    </xf>
    <xf numFmtId="0" fontId="0" fillId="7" borderId="53" xfId="0" applyFill="1" applyBorder="1" applyAlignment="1">
      <alignment horizontal="center" vertical="center"/>
    </xf>
    <xf numFmtId="10" fontId="6" fillId="0" borderId="54" xfId="0" applyNumberFormat="1" applyFont="1" applyFill="1" applyBorder="1" applyAlignment="1">
      <alignment horizontal="center"/>
    </xf>
    <xf numFmtId="0" fontId="0" fillId="11" borderId="53" xfId="0" applyFill="1" applyBorder="1"/>
    <xf numFmtId="0" fontId="0" fillId="0" borderId="55" xfId="0" applyBorder="1" applyAlignment="1">
      <alignment horizontal="center"/>
    </xf>
    <xf numFmtId="0" fontId="0" fillId="11" borderId="56" xfId="0" applyFill="1" applyBorder="1"/>
    <xf numFmtId="0" fontId="6" fillId="0" borderId="57" xfId="0" applyFont="1" applyBorder="1" applyAlignment="1">
      <alignment horizontal="center"/>
    </xf>
    <xf numFmtId="9" fontId="2" fillId="0" borderId="57" xfId="2" applyFont="1" applyBorder="1" applyAlignment="1">
      <alignment horizontal="center"/>
    </xf>
    <xf numFmtId="0" fontId="0" fillId="0" borderId="57" xfId="0" applyBorder="1" applyAlignment="1">
      <alignment horizontal="center"/>
    </xf>
    <xf numFmtId="167" fontId="0" fillId="0" borderId="57" xfId="0" applyNumberFormat="1" applyBorder="1" applyAlignment="1">
      <alignment horizontal="center"/>
    </xf>
    <xf numFmtId="167" fontId="6" fillId="0" borderId="57" xfId="0" applyNumberFormat="1" applyFont="1" applyBorder="1" applyAlignment="1">
      <alignment horizontal="center"/>
    </xf>
    <xf numFmtId="0" fontId="0" fillId="11" borderId="58" xfId="0" applyFill="1" applyBorder="1"/>
    <xf numFmtId="0" fontId="0" fillId="0" borderId="59" xfId="0" applyBorder="1" applyAlignment="1">
      <alignment horizontal="center"/>
    </xf>
    <xf numFmtId="0" fontId="0" fillId="11" borderId="60" xfId="0" applyFill="1" applyBorder="1"/>
    <xf numFmtId="43" fontId="6" fillId="0" borderId="55" xfId="1" applyFont="1" applyBorder="1" applyAlignment="1">
      <alignment horizontal="center"/>
    </xf>
    <xf numFmtId="165" fontId="6" fillId="0" borderId="57" xfId="0" applyNumberFormat="1" applyFont="1" applyBorder="1" applyAlignment="1">
      <alignment horizontal="center"/>
    </xf>
    <xf numFmtId="0" fontId="0" fillId="11" borderId="61" xfId="0" applyFill="1" applyBorder="1"/>
    <xf numFmtId="0" fontId="0" fillId="0" borderId="62" xfId="0" applyBorder="1" applyAlignment="1">
      <alignment horizontal="center"/>
    </xf>
    <xf numFmtId="0" fontId="0" fillId="9" borderId="60" xfId="0" applyFill="1" applyBorder="1"/>
    <xf numFmtId="0" fontId="0" fillId="9" borderId="56" xfId="0" applyFill="1" applyBorder="1"/>
    <xf numFmtId="166" fontId="0" fillId="0" borderId="57" xfId="0" applyNumberFormat="1" applyBorder="1" applyAlignment="1">
      <alignment horizontal="center"/>
    </xf>
    <xf numFmtId="0" fontId="0" fillId="9" borderId="63" xfId="0" applyFill="1" applyBorder="1"/>
    <xf numFmtId="167" fontId="2" fillId="0" borderId="64" xfId="1" applyNumberFormat="1" applyFont="1" applyBorder="1" applyAlignment="1">
      <alignment vertical="center"/>
    </xf>
    <xf numFmtId="167" fontId="0" fillId="0" borderId="65" xfId="0" applyNumberFormat="1" applyBorder="1" applyAlignment="1">
      <alignment vertical="center"/>
    </xf>
    <xf numFmtId="167" fontId="0" fillId="0" borderId="64" xfId="0" applyNumberFormat="1" applyBorder="1" applyAlignment="1">
      <alignment vertical="center"/>
    </xf>
    <xf numFmtId="166" fontId="0" fillId="0" borderId="66" xfId="0" applyNumberForma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8" borderId="27" xfId="0" applyFill="1" applyBorder="1"/>
    <xf numFmtId="0" fontId="0" fillId="8" borderId="28" xfId="0" applyFill="1" applyBorder="1"/>
    <xf numFmtId="0" fontId="17" fillId="15" borderId="26" xfId="0" applyFont="1" applyFill="1" applyBorder="1" applyAlignment="1">
      <alignment vertical="center"/>
    </xf>
    <xf numFmtId="0" fontId="17" fillId="15" borderId="28" xfId="0" applyFont="1" applyFill="1" applyBorder="1" applyAlignment="1">
      <alignment vertical="center"/>
    </xf>
    <xf numFmtId="0" fontId="0" fillId="16" borderId="27" xfId="0" applyFill="1" applyBorder="1"/>
    <xf numFmtId="0" fontId="0" fillId="16" borderId="28" xfId="0" applyFill="1" applyBorder="1"/>
    <xf numFmtId="0" fontId="6" fillId="5" borderId="44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45" xfId="0" applyFont="1" applyFill="1" applyBorder="1" applyAlignment="1">
      <alignment horizontal="center" vertical="center"/>
    </xf>
    <xf numFmtId="0" fontId="0" fillId="5" borderId="38" xfId="0" applyFill="1" applyBorder="1"/>
    <xf numFmtId="0" fontId="0" fillId="5" borderId="67" xfId="0" applyFill="1" applyBorder="1"/>
    <xf numFmtId="0" fontId="0" fillId="12" borderId="68" xfId="0" applyFill="1" applyBorder="1"/>
    <xf numFmtId="0" fontId="0" fillId="5" borderId="40" xfId="0" applyFill="1" applyBorder="1" applyAlignment="1">
      <alignment horizontal="center"/>
    </xf>
    <xf numFmtId="2" fontId="0" fillId="5" borderId="40" xfId="0" applyNumberFormat="1" applyFill="1" applyBorder="1"/>
    <xf numFmtId="164" fontId="0" fillId="5" borderId="0" xfId="0" applyNumberFormat="1" applyFont="1" applyFill="1" applyBorder="1"/>
    <xf numFmtId="9" fontId="0" fillId="14" borderId="25" xfId="2" applyFont="1" applyFill="1" applyBorder="1"/>
    <xf numFmtId="44" fontId="0" fillId="5" borderId="40" xfId="3" applyFont="1" applyFill="1" applyBorder="1"/>
    <xf numFmtId="44" fontId="0" fillId="5" borderId="0" xfId="3" applyFont="1" applyFill="1" applyBorder="1"/>
    <xf numFmtId="44" fontId="6" fillId="5" borderId="0" xfId="3" applyFont="1" applyFill="1" applyBorder="1"/>
    <xf numFmtId="44" fontId="0" fillId="5" borderId="69" xfId="3" applyFont="1" applyFill="1" applyBorder="1"/>
    <xf numFmtId="44" fontId="0" fillId="5" borderId="70" xfId="3" applyFont="1" applyFill="1" applyBorder="1"/>
    <xf numFmtId="44" fontId="0" fillId="5" borderId="71" xfId="3" applyFont="1" applyFill="1" applyBorder="1"/>
    <xf numFmtId="9" fontId="0" fillId="5" borderId="40" xfId="2" applyFont="1" applyFill="1" applyBorder="1"/>
    <xf numFmtId="9" fontId="0" fillId="5" borderId="0" xfId="2" applyFont="1" applyFill="1" applyBorder="1"/>
    <xf numFmtId="44" fontId="2" fillId="0" borderId="0" xfId="3" applyFont="1" applyBorder="1"/>
    <xf numFmtId="0" fontId="0" fillId="17" borderId="0" xfId="0" applyFill="1"/>
    <xf numFmtId="0" fontId="6" fillId="16" borderId="26" xfId="0" applyFont="1" applyFill="1" applyBorder="1" applyAlignment="1">
      <alignment horizontal="center" vertical="center"/>
    </xf>
    <xf numFmtId="0" fontId="6" fillId="16" borderId="27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 textRotation="90"/>
    </xf>
    <xf numFmtId="0" fontId="0" fillId="11" borderId="19" xfId="0" applyFill="1" applyBorder="1" applyAlignment="1">
      <alignment horizontal="center" vertical="center" textRotation="90"/>
    </xf>
    <xf numFmtId="0" fontId="9" fillId="9" borderId="29" xfId="0" applyFont="1" applyFill="1" applyBorder="1" applyAlignment="1">
      <alignment horizontal="center" vertical="center" textRotation="90"/>
    </xf>
    <xf numFmtId="0" fontId="9" fillId="9" borderId="44" xfId="0" applyFont="1" applyFill="1" applyBorder="1" applyAlignment="1">
      <alignment horizontal="center" vertical="center" textRotation="90"/>
    </xf>
    <xf numFmtId="0" fontId="9" fillId="9" borderId="47" xfId="0" applyFont="1" applyFill="1" applyBorder="1" applyAlignment="1">
      <alignment horizontal="center" vertical="center" textRotation="90"/>
    </xf>
    <xf numFmtId="0" fontId="0" fillId="13" borderId="39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17" fillId="15" borderId="27" xfId="0" applyFont="1" applyFill="1" applyBorder="1" applyAlignment="1">
      <alignment horizontal="center" vertical="center"/>
    </xf>
  </cellXfs>
  <cellStyles count="5">
    <cellStyle name="Comma" xfId="1" builtinId="3"/>
    <cellStyle name="Currency" xfId="3" builtinId="4"/>
    <cellStyle name="Normal" xfId="0" builtinId="0"/>
    <cellStyle name="Normal 3 2" xfId="4" xr:uid="{83DB1B7E-4D32-41EC-AC40-8027C7CA39F0}"/>
    <cellStyle name="Percent" xfId="2" builtinId="5"/>
  </cellStyles>
  <dxfs count="29">
    <dxf>
      <alignment horizontal="center" vertical="bottom" textRotation="0" wrapText="0" indent="0" justifyLastLine="0" shrinkToFit="0" readingOrder="0"/>
    </dxf>
    <dxf>
      <border diagonalUp="0" diagonalDown="0">
        <right style="thin">
          <color indexed="64"/>
        </right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rgb="FF000000"/>
        </left>
        <top style="medium">
          <color rgb="FF000000"/>
        </top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 * #,##0_ ;_ * \-#,##0_ ;_ * &quot;-&quot;??_ ;_ @_ 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4"/>
        <color theme="1" tint="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0" tint="-4.9989318521683403E-2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02138"/>
      <color rgb="FFDC5454"/>
      <color rgb="FFFDF0E9"/>
      <color rgb="FFFBFBFB"/>
      <color rgb="FF2F3047"/>
      <color rgb="FF0A1324"/>
      <color rgb="FF0F2B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47625</xdr:rowOff>
    </xdr:from>
    <xdr:to>
      <xdr:col>9</xdr:col>
      <xdr:colOff>590550</xdr:colOff>
      <xdr:row>3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D006320-F76C-CB33-3C66-99878F2BDD3A}"/>
            </a:ext>
          </a:extLst>
        </xdr:cNvPr>
        <xdr:cNvSpPr txBox="1"/>
      </xdr:nvSpPr>
      <xdr:spPr>
        <a:xfrm>
          <a:off x="1666875" y="238125"/>
          <a:ext cx="32956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</a:rPr>
            <a:t>CONTACTO</a:t>
          </a:r>
          <a:r>
            <a:rPr lang="en-US" sz="2400" b="1" baseline="0">
              <a:solidFill>
                <a:schemeClr val="bg1"/>
              </a:solidFill>
            </a:rPr>
            <a:t> MATUTINO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57149</xdr:colOff>
      <xdr:row>1</xdr:row>
      <xdr:rowOff>76199</xdr:rowOff>
    </xdr:from>
    <xdr:to>
      <xdr:col>18</xdr:col>
      <xdr:colOff>104774</xdr:colOff>
      <xdr:row>9</xdr:row>
      <xdr:rowOff>66674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16110E-2CD3-65BA-ECA0-48547D95797A}"/>
            </a:ext>
          </a:extLst>
        </xdr:cNvPr>
        <xdr:cNvSpPr/>
      </xdr:nvSpPr>
      <xdr:spPr>
        <a:xfrm>
          <a:off x="7229474" y="266699"/>
          <a:ext cx="3895725" cy="15144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13</xdr:col>
      <xdr:colOff>76199</xdr:colOff>
      <xdr:row>2</xdr:row>
      <xdr:rowOff>57151</xdr:rowOff>
    </xdr:from>
    <xdr:to>
      <xdr:col>14</xdr:col>
      <xdr:colOff>495300</xdr:colOff>
      <xdr:row>4</xdr:row>
      <xdr:rowOff>28195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DDFD6E-7D89-959F-9FAB-73E66413EA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-1" b="42251"/>
        <a:stretch/>
      </xdr:blipFill>
      <xdr:spPr>
        <a:xfrm>
          <a:off x="7248524" y="438151"/>
          <a:ext cx="609601" cy="352044"/>
        </a:xfrm>
        <a:prstGeom prst="rect">
          <a:avLst/>
        </a:prstGeom>
      </xdr:spPr>
    </xdr:pic>
    <xdr:clientData/>
  </xdr:twoCellAnchor>
  <xdr:twoCellAnchor editAs="oneCell">
    <xdr:from>
      <xdr:col>13</xdr:col>
      <xdr:colOff>161924</xdr:colOff>
      <xdr:row>5</xdr:row>
      <xdr:rowOff>76199</xdr:rowOff>
    </xdr:from>
    <xdr:to>
      <xdr:col>14</xdr:col>
      <xdr:colOff>419100</xdr:colOff>
      <xdr:row>7</xdr:row>
      <xdr:rowOff>142875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7150E8B-11E7-67F7-0C95-5ADB22DB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86724" y="1028699"/>
          <a:ext cx="447676" cy="447676"/>
        </a:xfrm>
        <a:prstGeom prst="rect">
          <a:avLst/>
        </a:prstGeom>
      </xdr:spPr>
    </xdr:pic>
    <xdr:clientData/>
  </xdr:twoCellAnchor>
  <xdr:oneCellAnchor>
    <xdr:from>
      <xdr:col>14</xdr:col>
      <xdr:colOff>476249</xdr:colOff>
      <xdr:row>7</xdr:row>
      <xdr:rowOff>19050</xdr:rowOff>
    </xdr:from>
    <xdr:ext cx="1143001" cy="25673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A759C31C-F513-49F5-B54A-D42DAC93596F}"/>
            </a:ext>
          </a:extLst>
        </xdr:cNvPr>
        <xdr:cNvSpPr txBox="1"/>
      </xdr:nvSpPr>
      <xdr:spPr>
        <a:xfrm>
          <a:off x="7839074" y="1352550"/>
          <a:ext cx="1143001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 b="0" i="1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CUOTA</a:t>
          </a:r>
          <a:r>
            <a:rPr lang="en-US" sz="1050" b="0" i="1" baseline="0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 </a:t>
          </a:r>
          <a:r>
            <a:rPr lang="en-US" sz="1050" b="0" i="1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TOTAL</a:t>
          </a:r>
        </a:p>
      </xdr:txBody>
    </xdr:sp>
    <xdr:clientData/>
  </xdr:oneCellAnchor>
  <xdr:twoCellAnchor>
    <xdr:from>
      <xdr:col>14</xdr:col>
      <xdr:colOff>1</xdr:colOff>
      <xdr:row>10</xdr:row>
      <xdr:rowOff>89647</xdr:rowOff>
    </xdr:from>
    <xdr:to>
      <xdr:col>19</xdr:col>
      <xdr:colOff>0</xdr:colOff>
      <xdr:row>11</xdr:row>
      <xdr:rowOff>47625</xdr:rowOff>
    </xdr:to>
    <xdr:sp macro="" textlink="">
      <xdr:nvSpPr>
        <xdr:cNvPr id="10" name="Rectangle: Top Corners Rounded 9">
          <a:extLst>
            <a:ext uri="{FF2B5EF4-FFF2-40B4-BE49-F238E27FC236}">
              <a16:creationId xmlns:a16="http://schemas.microsoft.com/office/drawing/2014/main" id="{DD54BA18-C9AF-A8AF-B0F3-84D9B61D3E15}"/>
            </a:ext>
          </a:extLst>
        </xdr:cNvPr>
        <xdr:cNvSpPr/>
      </xdr:nvSpPr>
      <xdr:spPr>
        <a:xfrm>
          <a:off x="6970060" y="1893794"/>
          <a:ext cx="4403911" cy="249331"/>
        </a:xfrm>
        <a:prstGeom prst="round2SameRect">
          <a:avLst>
            <a:gd name="adj1" fmla="val 50000"/>
            <a:gd name="adj2" fmla="val 0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180974</xdr:colOff>
      <xdr:row>1</xdr:row>
      <xdr:rowOff>66674</xdr:rowOff>
    </xdr:from>
    <xdr:to>
      <xdr:col>22</xdr:col>
      <xdr:colOff>552449</xdr:colOff>
      <xdr:row>9</xdr:row>
      <xdr:rowOff>57149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0B63E01-C2EB-4F2D-A992-DD918916FD97}"/>
            </a:ext>
          </a:extLst>
        </xdr:cNvPr>
        <xdr:cNvSpPr/>
      </xdr:nvSpPr>
      <xdr:spPr>
        <a:xfrm>
          <a:off x="10639424" y="257174"/>
          <a:ext cx="2809875" cy="15144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18</xdr:col>
      <xdr:colOff>409575</xdr:colOff>
      <xdr:row>1</xdr:row>
      <xdr:rowOff>123825</xdr:rowOff>
    </xdr:from>
    <xdr:ext cx="968086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05C0974-6766-97BB-B8E2-DFFAF95565BF}"/>
            </a:ext>
          </a:extLst>
        </xdr:cNvPr>
        <xdr:cNvSpPr txBox="1"/>
      </xdr:nvSpPr>
      <xdr:spPr>
        <a:xfrm>
          <a:off x="10820400" y="314325"/>
          <a:ext cx="96808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Herramientas</a:t>
          </a:r>
        </a:p>
      </xdr:txBody>
    </xdr:sp>
    <xdr:clientData/>
  </xdr:oneCellAnchor>
  <xdr:twoCellAnchor>
    <xdr:from>
      <xdr:col>18</xdr:col>
      <xdr:colOff>428625</xdr:colOff>
      <xdr:row>3</xdr:row>
      <xdr:rowOff>47625</xdr:rowOff>
    </xdr:from>
    <xdr:to>
      <xdr:col>20</xdr:col>
      <xdr:colOff>114300</xdr:colOff>
      <xdr:row>4</xdr:row>
      <xdr:rowOff>133350</xdr:rowOff>
    </xdr:to>
    <xdr:sp macro="[0]!RegistrarNuevoDia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77D4CAAA-B300-1F0E-17AB-B4B516C0E73B}"/>
            </a:ext>
          </a:extLst>
        </xdr:cNvPr>
        <xdr:cNvSpPr/>
      </xdr:nvSpPr>
      <xdr:spPr>
        <a:xfrm>
          <a:off x="12201525" y="619125"/>
          <a:ext cx="904875" cy="27622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>
              <a:solidFill>
                <a:schemeClr val="tx1">
                  <a:lumMod val="85000"/>
                  <a:lumOff val="15000"/>
                </a:schemeClr>
              </a:solidFill>
            </a:rPr>
            <a:t>Nuevo Dia</a:t>
          </a:r>
        </a:p>
      </xdr:txBody>
    </xdr:sp>
    <xdr:clientData/>
  </xdr:twoCellAnchor>
  <xdr:oneCellAnchor>
    <xdr:from>
      <xdr:col>14</xdr:col>
      <xdr:colOff>476250</xdr:colOff>
      <xdr:row>5</xdr:row>
      <xdr:rowOff>104775</xdr:rowOff>
    </xdr:from>
    <xdr:ext cx="923926" cy="405432"/>
    <xdr:sp macro="" textlink="$R$22">
      <xdr:nvSpPr>
        <xdr:cNvPr id="16" name="TextBox 15">
          <a:extLst>
            <a:ext uri="{FF2B5EF4-FFF2-40B4-BE49-F238E27FC236}">
              <a16:creationId xmlns:a16="http://schemas.microsoft.com/office/drawing/2014/main" id="{9F51E4E5-EABD-057F-FDDF-515B6441431E}"/>
            </a:ext>
          </a:extLst>
        </xdr:cNvPr>
        <xdr:cNvSpPr txBox="1"/>
      </xdr:nvSpPr>
      <xdr:spPr>
        <a:xfrm>
          <a:off x="7839075" y="1057275"/>
          <a:ext cx="923926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45FB303-0809-4FF8-92BF-6B7651A2B103}" type="TxLink">
            <a:rPr lang="en-US" sz="2000" b="1" i="0" u="none" strike="noStrike">
              <a:solidFill>
                <a:srgbClr val="3A3838"/>
              </a:solidFill>
              <a:latin typeface="Calibri"/>
              <a:ea typeface="Calibri"/>
              <a:cs typeface="Calibri"/>
            </a:rPr>
            <a:pPr/>
            <a:t>0</a:t>
          </a:fld>
          <a:endParaRPr lang="en-US" sz="1400"/>
        </a:p>
      </xdr:txBody>
    </xdr:sp>
    <xdr:clientData/>
  </xdr:oneCellAnchor>
  <xdr:oneCellAnchor>
    <xdr:from>
      <xdr:col>14</xdr:col>
      <xdr:colOff>447674</xdr:colOff>
      <xdr:row>3</xdr:row>
      <xdr:rowOff>180975</xdr:rowOff>
    </xdr:from>
    <xdr:ext cx="1343026" cy="25673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2A462AC-D8E1-4EF1-A308-540842A58DAF}"/>
            </a:ext>
          </a:extLst>
        </xdr:cNvPr>
        <xdr:cNvSpPr txBox="1"/>
      </xdr:nvSpPr>
      <xdr:spPr>
        <a:xfrm>
          <a:off x="7810499" y="752475"/>
          <a:ext cx="1343026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 b="0" i="1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CUOTA</a:t>
          </a:r>
          <a:r>
            <a:rPr lang="en-US" sz="1050" b="0" i="1" baseline="0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 SUPERVISOR</a:t>
          </a:r>
          <a:endParaRPr lang="en-US" sz="1050" b="0" i="1">
            <a:solidFill>
              <a:schemeClr val="bg2">
                <a:lumMod val="25000"/>
              </a:schemeClr>
            </a:solidFill>
            <a:latin typeface="+mn-lt"/>
            <a:cs typeface="Aharoni" panose="02010803020104030203" pitchFamily="2" charset="-79"/>
          </a:endParaRPr>
        </a:p>
      </xdr:txBody>
    </xdr:sp>
    <xdr:clientData/>
  </xdr:oneCellAnchor>
  <xdr:oneCellAnchor>
    <xdr:from>
      <xdr:col>14</xdr:col>
      <xdr:colOff>485774</xdr:colOff>
      <xdr:row>2</xdr:row>
      <xdr:rowOff>47625</xdr:rowOff>
    </xdr:from>
    <xdr:ext cx="1190625" cy="405432"/>
    <xdr:sp macro="" textlink="$R$23">
      <xdr:nvSpPr>
        <xdr:cNvPr id="18" name="TextBox 17">
          <a:extLst>
            <a:ext uri="{FF2B5EF4-FFF2-40B4-BE49-F238E27FC236}">
              <a16:creationId xmlns:a16="http://schemas.microsoft.com/office/drawing/2014/main" id="{FBA8B8CB-ECF3-4B9C-BFB0-C1F5CB1B7479}"/>
            </a:ext>
          </a:extLst>
        </xdr:cNvPr>
        <xdr:cNvSpPr txBox="1"/>
      </xdr:nvSpPr>
      <xdr:spPr>
        <a:xfrm>
          <a:off x="7848599" y="428625"/>
          <a:ext cx="119062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15D5856B-61A7-454D-BC6F-DD425AC9FFD7}" type="TxLink">
            <a:rPr lang="en-US" sz="2000" b="1" i="0" u="none" strike="noStrike">
              <a:solidFill>
                <a:srgbClr val="3A3838"/>
              </a:solidFill>
              <a:latin typeface="Calibri"/>
              <a:ea typeface="Calibri"/>
              <a:cs typeface="Calibri"/>
            </a:rPr>
            <a:pPr marL="0" indent="0"/>
            <a:t>0</a:t>
          </a:fld>
          <a:endParaRPr lang="en-US" sz="2000" b="1" i="0" u="none" strike="noStrike">
            <a:solidFill>
              <a:srgbClr val="3A3838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161925</xdr:colOff>
      <xdr:row>23</xdr:row>
      <xdr:rowOff>66675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ABA032C-A669-4D37-FC3C-98532DD5DC09}"/>
            </a:ext>
          </a:extLst>
        </xdr:cNvPr>
        <xdr:cNvSpPr txBox="1"/>
      </xdr:nvSpPr>
      <xdr:spPr>
        <a:xfrm>
          <a:off x="7524750" y="5086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21</xdr:col>
      <xdr:colOff>578489</xdr:colOff>
      <xdr:row>2</xdr:row>
      <xdr:rowOff>175360</xdr:rowOff>
    </xdr:from>
    <xdr:to>
      <xdr:col>22</xdr:col>
      <xdr:colOff>358546</xdr:colOff>
      <xdr:row>4</xdr:row>
      <xdr:rowOff>94397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39F7721-854C-43DC-D51F-55F832CBEA11}"/>
            </a:ext>
          </a:extLst>
        </xdr:cNvPr>
        <xdr:cNvGrpSpPr/>
      </xdr:nvGrpSpPr>
      <xdr:grpSpPr>
        <a:xfrm>
          <a:off x="13398018" y="556360"/>
          <a:ext cx="385175" cy="300037"/>
          <a:chOff x="12847879" y="581025"/>
          <a:chExt cx="344246" cy="266700"/>
        </a:xfrm>
      </xdr:grpSpPr>
      <xdr:sp macro="[0]!EjecutarMantenimiento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CCDDDC0D-A9A7-DCAA-2960-A1797C628673}"/>
              </a:ext>
            </a:extLst>
          </xdr:cNvPr>
          <xdr:cNvSpPr/>
        </xdr:nvSpPr>
        <xdr:spPr>
          <a:xfrm>
            <a:off x="12847879" y="581025"/>
            <a:ext cx="344246" cy="266700"/>
          </a:xfrm>
          <a:prstGeom prst="roundRect">
            <a:avLst/>
          </a:prstGeom>
          <a:solidFill>
            <a:srgbClr val="DC5454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EjecutarMantenimiento">
        <xdr:nvPicPr>
          <xdr:cNvPr id="50" name="Picture 49">
            <a:extLst>
              <a:ext uri="{FF2B5EF4-FFF2-40B4-BE49-F238E27FC236}">
                <a16:creationId xmlns:a16="http://schemas.microsoft.com/office/drawing/2014/main" id="{BA3CEFD3-FE9E-1985-1000-A0F28202A8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915436" y="614711"/>
            <a:ext cx="198863" cy="19916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303972</xdr:colOff>
      <xdr:row>6</xdr:row>
      <xdr:rowOff>20292</xdr:rowOff>
    </xdr:from>
    <xdr:to>
      <xdr:col>12</xdr:col>
      <xdr:colOff>74543</xdr:colOff>
      <xdr:row>33</xdr:row>
      <xdr:rowOff>67917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FF31B690-F4AC-4C3F-BFF3-5D4F7E4F08CD}"/>
            </a:ext>
          </a:extLst>
        </xdr:cNvPr>
        <xdr:cNvGrpSpPr/>
      </xdr:nvGrpSpPr>
      <xdr:grpSpPr>
        <a:xfrm>
          <a:off x="584119" y="1163292"/>
          <a:ext cx="5664865" cy="6367743"/>
          <a:chOff x="676275" y="1914525"/>
          <a:chExt cx="5724525" cy="6362700"/>
        </a:xfrm>
      </xdr:grpSpPr>
      <xdr:sp macro="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1B42FB27-6579-7C93-E994-584DFF1BC10D}"/>
              </a:ext>
            </a:extLst>
          </xdr:cNvPr>
          <xdr:cNvSpPr/>
        </xdr:nvSpPr>
        <xdr:spPr>
          <a:xfrm>
            <a:off x="676275" y="1914525"/>
            <a:ext cx="5724525" cy="6362700"/>
          </a:xfrm>
          <a:prstGeom prst="roundRect">
            <a:avLst>
              <a:gd name="adj" fmla="val 3616"/>
            </a:avLst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9800E7D7-AE7E-45DA-3C92-FB83B3ABD0ED}"/>
              </a:ext>
            </a:extLst>
          </xdr:cNvPr>
          <xdr:cNvSpPr txBox="1"/>
        </xdr:nvSpPr>
        <xdr:spPr>
          <a:xfrm>
            <a:off x="2113794" y="1936912"/>
            <a:ext cx="31432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Guía de Reunión Operativa Diaria</a:t>
            </a:r>
            <a:endParaRPr lang="en-US" sz="14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A014873-91C3-34FF-162A-13B5D8EFAE39}"/>
              </a:ext>
            </a:extLst>
          </xdr:cNvPr>
          <xdr:cNvSpPr/>
        </xdr:nvSpPr>
        <xdr:spPr>
          <a:xfrm>
            <a:off x="1994891" y="1956352"/>
            <a:ext cx="76200" cy="361950"/>
          </a:xfrm>
          <a:prstGeom prst="rect">
            <a:avLst/>
          </a:prstGeom>
          <a:ln>
            <a:noFill/>
          </a:ln>
        </xdr:spPr>
        <xdr:style>
          <a:lnRef idx="2">
            <a:schemeClr val="accent3">
              <a:shade val="15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E66A1E7F-CEFD-24F8-7AFE-A1F747244F3C}"/>
              </a:ext>
            </a:extLst>
          </xdr:cNvPr>
          <xdr:cNvGrpSpPr/>
        </xdr:nvGrpSpPr>
        <xdr:grpSpPr>
          <a:xfrm>
            <a:off x="1027287" y="2426633"/>
            <a:ext cx="4849752" cy="321609"/>
            <a:chOff x="2253356" y="2588558"/>
            <a:chExt cx="4876256" cy="302559"/>
          </a:xfrm>
        </xdr:grpSpPr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A9D2C4DD-3EED-955C-0D61-D5054BF04DDB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Saludos</a:t>
              </a:r>
              <a:r>
                <a:rPr lang="en-US" sz="12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(resaltar algo importante) algo bueno que este sucediendo</a:t>
              </a:r>
              <a:endParaRPr lang="en-US" sz="1200" b="0"/>
            </a:p>
          </xdr:txBody>
        </xdr:sp>
        <xdr:sp macro="" textlink="">
          <xdr:nvSpPr>
            <xdr:cNvPr id="83" name="Rectangle 82">
              <a:extLst>
                <a:ext uri="{FF2B5EF4-FFF2-40B4-BE49-F238E27FC236}">
                  <a16:creationId xmlns:a16="http://schemas.microsoft.com/office/drawing/2014/main" id="{9639C043-BF95-F365-C0DC-1A1AF00C07EE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1</a:t>
              </a:r>
            </a:p>
          </xdr:txBody>
        </xdr:sp>
      </xdr:grpSp>
      <xdr:grpSp>
        <xdr:nvGrpSpPr>
          <xdr:cNvPr id="58" name="Group 57">
            <a:extLst>
              <a:ext uri="{FF2B5EF4-FFF2-40B4-BE49-F238E27FC236}">
                <a16:creationId xmlns:a16="http://schemas.microsoft.com/office/drawing/2014/main" id="{1DD60B07-CC48-DA17-32AB-8BFE54277C2E}"/>
              </a:ext>
            </a:extLst>
          </xdr:cNvPr>
          <xdr:cNvGrpSpPr/>
        </xdr:nvGrpSpPr>
        <xdr:grpSpPr>
          <a:xfrm>
            <a:off x="1027287" y="2875118"/>
            <a:ext cx="4849752" cy="541239"/>
            <a:chOff x="2253356" y="2588558"/>
            <a:chExt cx="4876256" cy="388296"/>
          </a:xfrm>
        </xdr:grpSpPr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9F9AC283-406A-BBED-AC16-675DDBE34A6C}"/>
                </a:ext>
              </a:extLst>
            </xdr:cNvPr>
            <xdr:cNvSpPr txBox="1"/>
          </xdr:nvSpPr>
          <xdr:spPr>
            <a:xfrm>
              <a:off x="2558183" y="2601334"/>
              <a:ext cx="4571429" cy="37552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Incidencias o novedades, focos para el día</a:t>
              </a:r>
              <a:r>
                <a:rPr lang="en-US" sz="1200"/>
                <a:t> (inventario, cambios de lista, algún cambio de la política).</a:t>
              </a:r>
              <a:endParaRPr lang="en-US" sz="1200" b="0"/>
            </a:p>
          </xdr:txBody>
        </xdr:sp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B618E9B-2438-6591-1D99-1018B88BF618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2</a:t>
              </a:r>
            </a:p>
          </xdr:txBody>
        </xdr:sp>
      </xdr:grp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7C3DAB06-6A7D-B0B8-C5D1-FF08EBEF3C94}"/>
              </a:ext>
            </a:extLst>
          </xdr:cNvPr>
          <xdr:cNvGrpSpPr/>
        </xdr:nvGrpSpPr>
        <xdr:grpSpPr>
          <a:xfrm>
            <a:off x="1027287" y="3543233"/>
            <a:ext cx="4849752" cy="321609"/>
            <a:chOff x="2253356" y="2588558"/>
            <a:chExt cx="4876256" cy="302559"/>
          </a:xfrm>
        </xdr:grpSpPr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499C56A8-4FEF-3285-E475-BA0499FDF8E5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El foco del día</a:t>
              </a:r>
              <a:r>
                <a:rPr lang="en-US" sz="1200"/>
                <a:t> (la venta puntual a lograr).</a:t>
              </a:r>
              <a:endParaRPr lang="en-US" sz="1200" b="0"/>
            </a:p>
          </xdr:txBody>
        </xdr:sp>
        <xdr:sp macro="" textlink="">
          <xdr:nvSpPr>
            <xdr:cNvPr id="79" name="Rectangle 78">
              <a:extLst>
                <a:ext uri="{FF2B5EF4-FFF2-40B4-BE49-F238E27FC236}">
                  <a16:creationId xmlns:a16="http://schemas.microsoft.com/office/drawing/2014/main" id="{2422272F-795F-F08C-C5CF-40128BD3DF1B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3</a:t>
              </a: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B7E1BF94-BFFF-3D63-2740-DFCAFFF2E472}"/>
              </a:ext>
            </a:extLst>
          </xdr:cNvPr>
          <xdr:cNvGrpSpPr/>
        </xdr:nvGrpSpPr>
        <xdr:grpSpPr>
          <a:xfrm>
            <a:off x="1027287" y="3991718"/>
            <a:ext cx="4849752" cy="340659"/>
            <a:chOff x="2253356" y="2588558"/>
            <a:chExt cx="4876256" cy="302559"/>
          </a:xfrm>
        </xdr:grpSpPr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E667FF60-A9A3-61D7-0D79-7EC5750CC903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Cómo vamos hasta la fecha en las ventas.</a:t>
              </a:r>
              <a:endParaRPr lang="en-US" sz="12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10E743CE-06A8-5368-3987-C10CC73FE9F6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4</a:t>
              </a:r>
            </a:p>
          </xdr:txBody>
        </xdr:sp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4E562F15-35C8-588C-6B5A-DE7F00612685}"/>
              </a:ext>
            </a:extLst>
          </xdr:cNvPr>
          <xdr:cNvGrpSpPr/>
        </xdr:nvGrpSpPr>
        <xdr:grpSpPr>
          <a:xfrm>
            <a:off x="1027287" y="4459253"/>
            <a:ext cx="4849752" cy="376942"/>
            <a:chOff x="2253356" y="2588558"/>
            <a:chExt cx="4876256" cy="246499"/>
          </a:xfrm>
        </xdr:grpSpPr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655D5413-417A-1712-48C9-59E4D82E1C49}"/>
                </a:ext>
              </a:extLst>
            </xdr:cNvPr>
            <xdr:cNvSpPr txBox="1"/>
          </xdr:nvSpPr>
          <xdr:spPr>
            <a:xfrm>
              <a:off x="2558183" y="2601335"/>
              <a:ext cx="4571429" cy="18847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Cuál es el alcance hasta la fecha</a:t>
              </a:r>
              <a:r>
                <a:rPr lang="en-US" sz="1200"/>
                <a:t> (por vendedor).</a:t>
              </a:r>
              <a:endParaRPr lang="en-US" sz="1200" b="0"/>
            </a:p>
          </xdr:txBody>
        </xdr:sp>
        <xdr:sp macro="" textlink="">
          <xdr:nvSpPr>
            <xdr:cNvPr id="75" name="Rectangle 74">
              <a:extLst>
                <a:ext uri="{FF2B5EF4-FFF2-40B4-BE49-F238E27FC236}">
                  <a16:creationId xmlns:a16="http://schemas.microsoft.com/office/drawing/2014/main" id="{45DAD38C-BF8F-F804-88C9-479047C6FFA0}"/>
                </a:ext>
              </a:extLst>
            </xdr:cNvPr>
            <xdr:cNvSpPr/>
          </xdr:nvSpPr>
          <xdr:spPr>
            <a:xfrm>
              <a:off x="2253356" y="2588558"/>
              <a:ext cx="310354" cy="24649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5</a:t>
              </a:r>
            </a:p>
          </xdr:txBody>
        </xdr:sp>
      </xdr:grp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CC0A9C09-3EDC-02CD-E288-74B4DA6AFD58}"/>
              </a:ext>
            </a:extLst>
          </xdr:cNvPr>
          <xdr:cNvGrpSpPr/>
        </xdr:nvGrpSpPr>
        <xdr:grpSpPr>
          <a:xfrm>
            <a:off x="1027287" y="4963070"/>
            <a:ext cx="5292575" cy="684023"/>
            <a:chOff x="2253356" y="2588558"/>
            <a:chExt cx="4876256" cy="279477"/>
          </a:xfrm>
        </xdr:grpSpPr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484B422-F14E-ED41-6BF0-736C177BAC43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Cuál fue tu resultado de ayer vs. tus objetivos</a:t>
              </a:r>
              <a:r>
                <a:rPr lang="en-US" sz="1200"/>
                <a:t> (cumplimiento de ruta, cuántos pedidos, cuál fue el volumen vs. objetivo, cuánto fue tu venta del producto foco, cuál fue tu resultado de cobranzas, caso crítico de cobranzas).</a:t>
              </a:r>
            </a:p>
          </xdr:txBody>
        </xdr:sp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87E8EFE8-A7FA-C267-68CD-070E4080A621}"/>
                </a:ext>
              </a:extLst>
            </xdr:cNvPr>
            <xdr:cNvSpPr/>
          </xdr:nvSpPr>
          <xdr:spPr>
            <a:xfrm>
              <a:off x="2253356" y="2588558"/>
              <a:ext cx="310354" cy="154962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6</a:t>
              </a:r>
            </a:p>
          </xdr:txBody>
        </xdr:sp>
      </xdr:grpSp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19EEA81C-4050-CD18-39F3-6016319AA359}"/>
              </a:ext>
            </a:extLst>
          </xdr:cNvPr>
          <xdr:cNvGrpSpPr/>
        </xdr:nvGrpSpPr>
        <xdr:grpSpPr>
          <a:xfrm>
            <a:off x="1027287" y="5773968"/>
            <a:ext cx="4849752" cy="917525"/>
            <a:chOff x="2253356" y="2588558"/>
            <a:chExt cx="4876256" cy="792714"/>
          </a:xfrm>
        </xdr:grpSpPr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8DEB2E1D-6443-E6D1-4AE2-F63115742145}"/>
                </a:ext>
              </a:extLst>
            </xdr:cNvPr>
            <xdr:cNvSpPr txBox="1"/>
          </xdr:nvSpPr>
          <xdr:spPr>
            <a:xfrm>
              <a:off x="2558183" y="2601333"/>
              <a:ext cx="4571429" cy="779939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Cuál es el propósito del día de hoy</a:t>
              </a:r>
              <a:r>
                <a:rPr lang="en-US" sz="1200"/>
                <a:t> (cuántos clientes, cuánto volumen a lograr, cuál es la meta en cobranzas, ¿tienes casos críticos por atender hoy?, plan de venta de productos foco, qué clientes faltan por activar dentro o fuera de la ruta).</a:t>
              </a:r>
              <a:endParaRPr lang="en-US" sz="1200" b="0"/>
            </a:p>
          </xdr:txBody>
        </xdr:sp>
        <xdr:sp macro="" textlink="">
          <xdr:nvSpPr>
            <xdr:cNvPr id="71" name="Rectangle 70">
              <a:extLst>
                <a:ext uri="{FF2B5EF4-FFF2-40B4-BE49-F238E27FC236}">
                  <a16:creationId xmlns:a16="http://schemas.microsoft.com/office/drawing/2014/main" id="{7F5C90DC-B144-1E60-EEC1-B42C2A5CCD75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7</a:t>
              </a:r>
            </a:p>
          </xdr:txBody>
        </xdr:sp>
      </xdr:grpSp>
      <xdr:grpSp>
        <xdr:nvGrpSpPr>
          <xdr:cNvPr id="64" name="Group 63">
            <a:extLst>
              <a:ext uri="{FF2B5EF4-FFF2-40B4-BE49-F238E27FC236}">
                <a16:creationId xmlns:a16="http://schemas.microsoft.com/office/drawing/2014/main" id="{A8832BD8-4D04-9DAF-287E-1665E2070EC3}"/>
              </a:ext>
            </a:extLst>
          </xdr:cNvPr>
          <xdr:cNvGrpSpPr/>
        </xdr:nvGrpSpPr>
        <xdr:grpSpPr>
          <a:xfrm>
            <a:off x="1027287" y="6818368"/>
            <a:ext cx="4849752" cy="485871"/>
            <a:chOff x="2253356" y="2588558"/>
            <a:chExt cx="4876256" cy="485871"/>
          </a:xfrm>
        </xdr:grpSpPr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E90D88F0-8133-E333-8AF4-79D83DE7698F}"/>
                </a:ext>
              </a:extLst>
            </xdr:cNvPr>
            <xdr:cNvSpPr txBox="1"/>
          </xdr:nvSpPr>
          <xdr:spPr>
            <a:xfrm>
              <a:off x="2558183" y="2601334"/>
              <a:ext cx="4571429" cy="47309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¿Qué te impide alcanzar los objetivos?</a:t>
              </a:r>
              <a:r>
                <a:rPr lang="en-US" sz="1200"/>
                <a:t> (novedades, incidencias, entre otros) </a:t>
              </a:r>
              <a:r>
                <a:rPr lang="en-US" sz="1200" b="1"/>
                <a:t>¿En qué te puedo ayudar?</a:t>
              </a:r>
              <a:endParaRPr lang="en-US" sz="1200" b="0"/>
            </a:p>
          </xdr:txBody>
        </xdr:sp>
        <xdr:sp macro="" textlink="">
          <xdr:nvSpPr>
            <xdr:cNvPr id="69" name="Rectangle 68">
              <a:extLst>
                <a:ext uri="{FF2B5EF4-FFF2-40B4-BE49-F238E27FC236}">
                  <a16:creationId xmlns:a16="http://schemas.microsoft.com/office/drawing/2014/main" id="{A0CD36AA-A70F-8679-65C2-6D214B95D126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8</a:t>
              </a:r>
            </a:p>
          </xdr:txBody>
        </xdr:sp>
      </xdr:grpSp>
      <xdr:grpSp>
        <xdr:nvGrpSpPr>
          <xdr:cNvPr id="65" name="Group 64">
            <a:extLst>
              <a:ext uri="{FF2B5EF4-FFF2-40B4-BE49-F238E27FC236}">
                <a16:creationId xmlns:a16="http://schemas.microsoft.com/office/drawing/2014/main" id="{34E238D9-21E1-14F2-90E0-2D79C9D16BC6}"/>
              </a:ext>
            </a:extLst>
          </xdr:cNvPr>
          <xdr:cNvGrpSpPr/>
        </xdr:nvGrpSpPr>
        <xdr:grpSpPr>
          <a:xfrm>
            <a:off x="1027287" y="7431114"/>
            <a:ext cx="4849752" cy="302559"/>
            <a:chOff x="2253356" y="2588558"/>
            <a:chExt cx="4876256" cy="302559"/>
          </a:xfrm>
        </xdr:grpSpPr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F3D6CFA-330B-E00A-B18A-9FC196301299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Despedida</a:t>
              </a:r>
              <a:r>
                <a:rPr lang="en-US" sz="1200"/>
                <a:t> (reforzando algún punto estratégico).</a:t>
              </a:r>
              <a:endParaRPr lang="en-US" sz="1200" b="0"/>
            </a:p>
          </xdr:txBody>
        </xdr:sp>
        <xdr:sp macro="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5E256482-DF9B-E78D-1C9F-F77B6AF0AA04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9</a:t>
              </a:r>
            </a:p>
          </xdr:txBody>
        </xdr:sp>
      </xdr:grpSp>
    </xdr:grpSp>
    <xdr:clientData/>
  </xdr:twoCellAnchor>
  <xdr:twoCellAnchor>
    <xdr:from>
      <xdr:col>4</xdr:col>
      <xdr:colOff>209550</xdr:colOff>
      <xdr:row>5</xdr:row>
      <xdr:rowOff>161925</xdr:rowOff>
    </xdr:from>
    <xdr:to>
      <xdr:col>10</xdr:col>
      <xdr:colOff>104775</xdr:colOff>
      <xdr:row>5</xdr:row>
      <xdr:rowOff>161925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BB45B56D-3AEE-CDEF-1FD6-59993C181405}"/>
            </a:ext>
          </a:extLst>
        </xdr:cNvPr>
        <xdr:cNvCxnSpPr/>
      </xdr:nvCxnSpPr>
      <xdr:spPr>
        <a:xfrm>
          <a:off x="1533525" y="1114425"/>
          <a:ext cx="355282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643145</xdr:colOff>
      <xdr:row>0</xdr:row>
      <xdr:rowOff>185116</xdr:rowOff>
    </xdr:from>
    <xdr:to>
      <xdr:col>4</xdr:col>
      <xdr:colOff>243095</xdr:colOff>
      <xdr:row>5</xdr:row>
      <xdr:rowOff>32716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630C7E6B-A3A7-2202-0605-53EFBBD026A3}"/>
            </a:ext>
          </a:extLst>
        </xdr:cNvPr>
        <xdr:cNvGrpSpPr/>
      </xdr:nvGrpSpPr>
      <xdr:grpSpPr>
        <a:xfrm>
          <a:off x="923292" y="185116"/>
          <a:ext cx="653303" cy="800100"/>
          <a:chOff x="949601" y="85725"/>
          <a:chExt cx="651841" cy="800100"/>
        </a:xfrm>
      </xdr:grpSpPr>
      <xdr:sp macro="" textlink="">
        <xdr:nvSpPr>
          <xdr:cNvPr id="86" name="Oval 85">
            <a:extLst>
              <a:ext uri="{FF2B5EF4-FFF2-40B4-BE49-F238E27FC236}">
                <a16:creationId xmlns:a16="http://schemas.microsoft.com/office/drawing/2014/main" id="{E51CFF88-3FB3-142C-B0B8-B9349DDD12A3}"/>
              </a:ext>
            </a:extLst>
          </xdr:cNvPr>
          <xdr:cNvSpPr/>
        </xdr:nvSpPr>
        <xdr:spPr>
          <a:xfrm>
            <a:off x="949601" y="142875"/>
            <a:ext cx="651841" cy="647700"/>
          </a:xfrm>
          <a:prstGeom prst="ellipse">
            <a:avLst/>
          </a:prstGeom>
          <a:solidFill>
            <a:schemeClr val="bg1"/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1397C5AF-C5A6-2D81-FE79-F0FC80E884A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394" t="25960" r="36722" b="23742"/>
          <a:stretch/>
        </xdr:blipFill>
        <xdr:spPr>
          <a:xfrm>
            <a:off x="978175" y="85725"/>
            <a:ext cx="566116" cy="8001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89039</xdr:colOff>
      <xdr:row>2</xdr:row>
      <xdr:rowOff>182217</xdr:rowOff>
    </xdr:from>
    <xdr:to>
      <xdr:col>8</xdr:col>
      <xdr:colOff>596348</xdr:colOff>
      <xdr:row>4</xdr:row>
      <xdr:rowOff>99391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2428AA31-F3FD-4D91-A2A8-B9008D462977}"/>
            </a:ext>
          </a:extLst>
        </xdr:cNvPr>
        <xdr:cNvSpPr txBox="1"/>
      </xdr:nvSpPr>
      <xdr:spPr>
        <a:xfrm>
          <a:off x="2027169" y="563217"/>
          <a:ext cx="2346049" cy="29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>
              <a:solidFill>
                <a:schemeClr val="bg1"/>
              </a:solidFill>
            </a:rPr>
            <a:t>Supervisor</a:t>
          </a:r>
          <a:r>
            <a:rPr lang="en-US" sz="1800" b="0" baseline="0">
              <a:solidFill>
                <a:schemeClr val="bg1"/>
              </a:solidFill>
            </a:rPr>
            <a:t> de ventas</a:t>
          </a:r>
          <a:endParaRPr lang="en-US" sz="1800" b="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66261</xdr:colOff>
      <xdr:row>20</xdr:row>
      <xdr:rowOff>190500</xdr:rowOff>
    </xdr:from>
    <xdr:to>
      <xdr:col>18</xdr:col>
      <xdr:colOff>430696</xdr:colOff>
      <xdr:row>25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37763E24-0217-EDEF-EF78-41AA73313448}"/>
            </a:ext>
          </a:extLst>
        </xdr:cNvPr>
        <xdr:cNvSpPr/>
      </xdr:nvSpPr>
      <xdr:spPr>
        <a:xfrm>
          <a:off x="6907696" y="4605130"/>
          <a:ext cx="4356652" cy="130865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6069</xdr:colOff>
      <xdr:row>20</xdr:row>
      <xdr:rowOff>25790</xdr:rowOff>
    </xdr:from>
    <xdr:to>
      <xdr:col>19</xdr:col>
      <xdr:colOff>11206</xdr:colOff>
      <xdr:row>21</xdr:row>
      <xdr:rowOff>165649</xdr:rowOff>
    </xdr:to>
    <xdr:sp macro="" textlink="">
      <xdr:nvSpPr>
        <xdr:cNvPr id="11" name="Rectangle: Top Corners Rounded 10">
          <a:extLst>
            <a:ext uri="{FF2B5EF4-FFF2-40B4-BE49-F238E27FC236}">
              <a16:creationId xmlns:a16="http://schemas.microsoft.com/office/drawing/2014/main" id="{189AE8A7-D9A6-B5BB-6254-4698507F3EE5}"/>
            </a:ext>
          </a:extLst>
        </xdr:cNvPr>
        <xdr:cNvSpPr/>
      </xdr:nvSpPr>
      <xdr:spPr>
        <a:xfrm rot="10800000">
          <a:off x="6976128" y="4452114"/>
          <a:ext cx="4644372" cy="352770"/>
        </a:xfrm>
        <a:prstGeom prst="round2SameRect">
          <a:avLst/>
        </a:prstGeom>
        <a:solidFill>
          <a:schemeClr val="bg1"/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2</xdr:rowOff>
    </xdr:from>
    <xdr:to>
      <xdr:col>3</xdr:col>
      <xdr:colOff>669471</xdr:colOff>
      <xdr:row>1</xdr:row>
      <xdr:rowOff>206831</xdr:rowOff>
    </xdr:to>
    <xdr:pic>
      <xdr:nvPicPr>
        <xdr:cNvPr id="2" name="Picture 1" descr="Free Arrow Vector Clipart (PNG, SVG) to Edit Online">
          <a:extLst>
            <a:ext uri="{FF2B5EF4-FFF2-40B4-BE49-F238E27FC236}">
              <a16:creationId xmlns:a16="http://schemas.microsoft.com/office/drawing/2014/main" id="{EBD49826-9970-4246-B44F-39E8F784EB9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329" r="13746" b="16981"/>
        <a:stretch/>
      </xdr:blipFill>
      <xdr:spPr bwMode="auto">
        <a:xfrm rot="5400000">
          <a:off x="2307771" y="54431"/>
          <a:ext cx="435429" cy="326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626554</xdr:colOff>
      <xdr:row>27</xdr:row>
      <xdr:rowOff>201219</xdr:rowOff>
    </xdr:from>
    <xdr:to>
      <xdr:col>12</xdr:col>
      <xdr:colOff>796593</xdr:colOff>
      <xdr:row>29</xdr:row>
      <xdr:rowOff>68697</xdr:rowOff>
    </xdr:to>
    <xdr:sp macro="[0]!RegistrarSiguienteDi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4358BF-6EF3-412F-977F-65F4304790F4}"/>
            </a:ext>
          </a:extLst>
        </xdr:cNvPr>
        <xdr:cNvSpPr/>
      </xdr:nvSpPr>
      <xdr:spPr>
        <a:xfrm>
          <a:off x="10095525" y="6330837"/>
          <a:ext cx="1044097" cy="3157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Siguiente Dia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586185-2EA2-47E6-AFEF-0B2EDA5714EE}" name="VENDEDORES" displayName="VENDEDORES" ref="O12:S20" totalsRowShown="0" headerRowDxfId="27" dataDxfId="26" totalsRowDxfId="25" dataCellStyle="Normal">
  <tableColumns count="5">
    <tableColumn id="2" xr3:uid="{148E6370-19DB-4AE3-8196-DECBC963F1EA}" name="Ruta" dataDxfId="24" dataCellStyle="Normal"/>
    <tableColumn id="1" xr3:uid="{931C3C80-BDBE-430C-B57B-4CF94BEC72B3}" name="Vendedor" dataDxfId="23" totalsRowDxfId="22" dataCellStyle="Normal"/>
    <tableColumn id="5" xr3:uid="{9C0B98B1-D36A-4C81-AA1A-E2BA008A487C}" name="Sup" dataDxfId="21" totalsRowDxfId="20"/>
    <tableColumn id="3" xr3:uid="{C19954A4-858E-49B0-B589-8C5CD7365AF5}" name="Cuota UDVD" dataDxfId="19" totalsRowDxfId="18" dataCellStyle="Normal"/>
    <tableColumn id="4" xr3:uid="{E1707630-54D5-4438-9D7B-84239995AE9C}" name="Cuota $" dataDxfId="17" totalsRowDxfId="16" dataCellStyle="Normal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D3F8CE-8392-4CD9-A9EF-0AF5C3AA697F}" name="tabla24" displayName="tabla24" ref="D9:M27" totalsRowShown="0" headerRowDxfId="5" headerRowBorderDxfId="4" tableBorderDxfId="3">
  <tableColumns count="10">
    <tableColumn id="1" xr3:uid="{851056D7-9F4C-4000-A3DF-5AC39D726564}" name="DESCRIPCION" dataDxfId="2"/>
    <tableColumn id="2" xr3:uid="{2C1EF1B5-4531-4F85-809A-0D5B01E01871}" name="R-10"/>
    <tableColumn id="3" xr3:uid="{9EACE5F5-9866-48AC-A85F-3A305125B161}" name="R-15"/>
    <tableColumn id="4" xr3:uid="{E4BE9EA6-0472-45C0-BD8D-BC48C4B546B5}" name="R-17"/>
    <tableColumn id="5" xr3:uid="{353D6A29-616B-4281-8741-CEDF997939C7}" name="R-30"/>
    <tableColumn id="6" xr3:uid="{CC9544CB-A24C-40B9-A90E-C3C7D9A0FDDF}" name="R-32"/>
    <tableColumn id="7" xr3:uid="{8CD43DA2-86ED-41DF-9995-6DF056638C6E}" name="R-39"/>
    <tableColumn id="8" xr3:uid="{EF7B4BA4-B4DC-4FB2-8E66-43A5C000AF00}" name="R-21"/>
    <tableColumn id="9" xr3:uid="{671282D8-B92B-49EF-A62F-EB4431B53C24}" name="R-26" dataDxfId="1"/>
    <tableColumn id="10" xr3:uid="{3A17BF34-D57B-42C0-9A9E-5512E35B79C0}" name="TOTAL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9"/>
  <sheetViews>
    <sheetView showGridLines="0" topLeftCell="B1" zoomScale="85" zoomScaleNormal="85" workbookViewId="0">
      <selection activeCell="W15" sqref="W15:X16"/>
    </sheetView>
  </sheetViews>
  <sheetFormatPr defaultRowHeight="15" x14ac:dyDescent="0.25"/>
  <cols>
    <col min="1" max="1" width="9.140625" hidden="1" customWidth="1"/>
    <col min="2" max="2" width="2.140625" customWidth="1"/>
    <col min="3" max="3" width="2" customWidth="1"/>
    <col min="4" max="4" width="15.7109375" customWidth="1"/>
    <col min="14" max="14" width="2.85546875" customWidth="1"/>
    <col min="15" max="15" width="8.140625" customWidth="1"/>
    <col min="16" max="16" width="25.85546875" customWidth="1"/>
    <col min="17" max="17" width="7.42578125" customWidth="1"/>
    <col min="18" max="18" width="15.5703125" customWidth="1"/>
    <col min="19" max="19" width="12.5703125" customWidth="1"/>
  </cols>
  <sheetData>
    <row r="1" spans="1:31" x14ac:dyDescent="0.25">
      <c r="A1" s="3"/>
      <c r="B1" s="3"/>
      <c r="C1" s="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3"/>
      <c r="Y1" s="3"/>
      <c r="Z1" s="10"/>
      <c r="AA1" s="10"/>
      <c r="AB1" s="10"/>
      <c r="AC1" s="10"/>
      <c r="AD1" s="10"/>
    </row>
    <row r="2" spans="1:31" x14ac:dyDescent="0.25">
      <c r="A2" s="3"/>
      <c r="B2" s="3"/>
      <c r="C2" s="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3"/>
      <c r="Y2" s="3"/>
      <c r="Z2" s="10"/>
      <c r="AA2" s="10"/>
      <c r="AB2" s="10"/>
      <c r="AC2" s="10"/>
      <c r="AD2" s="10"/>
    </row>
    <row r="3" spans="1:31" x14ac:dyDescent="0.25">
      <c r="A3" s="3"/>
      <c r="B3" s="3"/>
      <c r="C3" s="3"/>
      <c r="D3" s="1"/>
      <c r="E3" s="1"/>
      <c r="F3" s="1"/>
      <c r="G3" s="1"/>
      <c r="H3" s="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3"/>
      <c r="Y3" s="3"/>
      <c r="Z3" s="10"/>
      <c r="AA3" s="10"/>
      <c r="AB3" s="10"/>
      <c r="AC3" s="10"/>
      <c r="AD3" s="10"/>
    </row>
    <row r="4" spans="1:31" x14ac:dyDescent="0.25">
      <c r="A4" s="3"/>
      <c r="B4" s="3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3"/>
      <c r="Y4" s="3"/>
      <c r="Z4" s="10"/>
      <c r="AA4" s="10"/>
      <c r="AB4" s="10"/>
      <c r="AC4" s="10"/>
      <c r="AD4" s="10"/>
    </row>
    <row r="5" spans="1:31" x14ac:dyDescent="0.25">
      <c r="A5" s="3"/>
      <c r="B5" s="3"/>
      <c r="C5" s="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3"/>
      <c r="Y5" s="3"/>
      <c r="Z5" s="10"/>
      <c r="AA5" s="10"/>
      <c r="AB5" s="10"/>
      <c r="AC5" s="10"/>
      <c r="AD5" s="10"/>
    </row>
    <row r="6" spans="1:31" x14ac:dyDescent="0.25">
      <c r="A6" s="3"/>
      <c r="B6" s="3"/>
      <c r="C6" s="3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3"/>
      <c r="Y6" s="3"/>
      <c r="Z6" s="10"/>
      <c r="AA6" s="10"/>
      <c r="AB6" s="10"/>
      <c r="AC6" s="10"/>
      <c r="AD6" s="10"/>
    </row>
    <row r="7" spans="1:31" x14ac:dyDescent="0.25">
      <c r="A7" s="3"/>
      <c r="B7" s="3"/>
      <c r="C7" s="3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3"/>
      <c r="Y7" s="3"/>
      <c r="Z7" s="10"/>
      <c r="AA7" s="10"/>
      <c r="AB7" s="10"/>
      <c r="AC7" s="10"/>
      <c r="AD7" s="10"/>
    </row>
    <row r="8" spans="1:31" x14ac:dyDescent="0.25">
      <c r="A8" s="3"/>
      <c r="B8" s="3"/>
      <c r="C8" s="3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3"/>
      <c r="Y8" s="3"/>
      <c r="Z8" s="10"/>
      <c r="AA8" s="10"/>
      <c r="AB8" s="10"/>
      <c r="AC8" s="10"/>
      <c r="AD8" s="10"/>
    </row>
    <row r="9" spans="1:31" x14ac:dyDescent="0.25">
      <c r="A9" s="3"/>
      <c r="B9" s="3"/>
      <c r="C9" s="3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"/>
      <c r="Y9" s="3"/>
      <c r="Z9" s="10"/>
      <c r="AA9" s="10"/>
      <c r="AB9" s="10"/>
      <c r="AC9" s="10"/>
      <c r="AD9" s="10"/>
    </row>
    <row r="10" spans="1:31" ht="6.75" customHeigh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10"/>
      <c r="AA10" s="10"/>
      <c r="AB10" s="10"/>
      <c r="AC10" s="10"/>
      <c r="AD10" s="10"/>
    </row>
    <row r="11" spans="1:31" ht="22.5" customHeight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139"/>
      <c r="V11" s="3"/>
      <c r="W11" s="3"/>
      <c r="X11" s="3"/>
      <c r="Y11" s="3"/>
      <c r="Z11" s="10"/>
      <c r="AA11" s="10"/>
      <c r="AB11" s="10"/>
      <c r="AC11" s="10"/>
      <c r="AD11" s="10"/>
    </row>
    <row r="12" spans="1:31" ht="18.7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70" t="s">
        <v>0</v>
      </c>
      <c r="P12" s="70" t="s">
        <v>1</v>
      </c>
      <c r="Q12" s="70" t="s">
        <v>3</v>
      </c>
      <c r="R12" s="70" t="s">
        <v>55</v>
      </c>
      <c r="S12" s="70" t="s">
        <v>56</v>
      </c>
      <c r="T12" s="3"/>
      <c r="U12" s="3"/>
      <c r="V12" s="3"/>
      <c r="W12" s="3"/>
      <c r="X12" s="3"/>
      <c r="Y12" s="3"/>
      <c r="Z12" s="3"/>
      <c r="AA12" s="10"/>
      <c r="AB12" s="10"/>
      <c r="AC12" s="10"/>
      <c r="AD12" s="10"/>
      <c r="AE12" s="10"/>
    </row>
    <row r="13" spans="1:31" ht="2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73" t="s">
        <v>19</v>
      </c>
      <c r="P13" s="74" t="s">
        <v>4</v>
      </c>
      <c r="Q13" s="75">
        <v>1</v>
      </c>
      <c r="R13" s="76"/>
      <c r="S13" s="65"/>
      <c r="T13" s="3"/>
      <c r="U13" s="3"/>
      <c r="V13" s="3"/>
      <c r="W13" s="3"/>
      <c r="X13" s="3"/>
      <c r="Y13" s="3"/>
      <c r="Z13" s="3"/>
      <c r="AA13" s="10"/>
      <c r="AB13" s="10"/>
      <c r="AC13" s="10"/>
      <c r="AD13" s="10"/>
      <c r="AE13" s="10"/>
    </row>
    <row r="14" spans="1:31" ht="2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71" t="s">
        <v>20</v>
      </c>
      <c r="P14" s="69" t="s">
        <v>5</v>
      </c>
      <c r="Q14" s="66">
        <v>1</v>
      </c>
      <c r="R14" s="67"/>
      <c r="S14" s="65"/>
      <c r="T14" s="3"/>
      <c r="U14" s="3"/>
      <c r="V14" s="3"/>
      <c r="W14" s="3"/>
      <c r="X14" s="3"/>
      <c r="Y14" s="3"/>
      <c r="Z14" s="3"/>
      <c r="AA14" s="10"/>
      <c r="AB14" s="10"/>
      <c r="AC14" s="10"/>
      <c r="AD14" s="10"/>
      <c r="AE14" s="10"/>
    </row>
    <row r="15" spans="1:31" ht="2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71" t="s">
        <v>21</v>
      </c>
      <c r="P15" s="69" t="s">
        <v>6</v>
      </c>
      <c r="Q15" s="66">
        <v>1</v>
      </c>
      <c r="R15" s="67"/>
      <c r="S15" s="65"/>
      <c r="T15" s="4"/>
      <c r="U15" s="3"/>
      <c r="V15" s="3"/>
      <c r="W15" s="3"/>
      <c r="X15" s="3"/>
      <c r="Y15" s="3"/>
      <c r="Z15" s="3"/>
      <c r="AA15" s="10"/>
      <c r="AB15" s="10"/>
      <c r="AC15" s="10"/>
      <c r="AD15" s="10"/>
      <c r="AE15" s="10"/>
    </row>
    <row r="16" spans="1:31" ht="2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71" t="s">
        <v>25</v>
      </c>
      <c r="P16" s="69"/>
      <c r="Q16" s="66">
        <v>1</v>
      </c>
      <c r="R16" s="68"/>
      <c r="S16" s="65"/>
      <c r="T16" s="3"/>
      <c r="U16" s="3"/>
      <c r="V16" s="3"/>
      <c r="W16" s="3"/>
      <c r="X16" s="3"/>
      <c r="Y16" s="3"/>
      <c r="Z16" s="3"/>
      <c r="AA16" s="10"/>
      <c r="AB16" s="10"/>
      <c r="AC16" s="10"/>
      <c r="AD16" s="10"/>
      <c r="AE16" s="10"/>
    </row>
    <row r="17" spans="1:31" ht="2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71" t="s">
        <v>26</v>
      </c>
      <c r="P17" s="69"/>
      <c r="Q17" s="66">
        <v>0</v>
      </c>
      <c r="R17" s="67"/>
      <c r="S17" s="65"/>
      <c r="T17" s="3"/>
      <c r="U17" s="3"/>
      <c r="V17" s="3"/>
      <c r="W17" s="3"/>
      <c r="X17" s="3"/>
      <c r="Y17" s="3"/>
      <c r="Z17" s="3"/>
      <c r="AA17" s="10"/>
      <c r="AB17" s="10"/>
      <c r="AC17" s="10"/>
      <c r="AD17" s="10"/>
      <c r="AE17" s="10"/>
    </row>
    <row r="18" spans="1:31" ht="2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71" t="s">
        <v>22</v>
      </c>
      <c r="P18" s="69"/>
      <c r="Q18" s="66">
        <v>1</v>
      </c>
      <c r="R18" s="67"/>
      <c r="S18" s="65"/>
      <c r="T18" s="3"/>
      <c r="U18" s="3"/>
      <c r="V18" s="3"/>
      <c r="W18" s="3"/>
      <c r="X18" s="3"/>
      <c r="Y18" s="3"/>
      <c r="Z18" s="3"/>
      <c r="AA18" s="10"/>
      <c r="AB18" s="10"/>
      <c r="AC18" s="10"/>
      <c r="AD18" s="10"/>
      <c r="AE18" s="10"/>
    </row>
    <row r="19" spans="1:31" ht="2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71" t="s">
        <v>23</v>
      </c>
      <c r="P19" s="69"/>
      <c r="Q19" s="66">
        <v>1</v>
      </c>
      <c r="R19" s="67"/>
      <c r="S19" s="65"/>
      <c r="T19" s="3"/>
      <c r="U19" s="3"/>
      <c r="V19" s="3"/>
      <c r="W19" s="3"/>
      <c r="X19" s="3"/>
      <c r="Y19" s="3"/>
      <c r="Z19" s="3"/>
      <c r="AA19" s="10"/>
      <c r="AB19" s="10"/>
      <c r="AC19" s="10"/>
      <c r="AD19" s="10"/>
      <c r="AE19" s="10"/>
    </row>
    <row r="20" spans="1:31" ht="16.5" customHeight="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71" t="s">
        <v>24</v>
      </c>
      <c r="P20" s="69"/>
      <c r="Q20" s="66">
        <v>1</v>
      </c>
      <c r="R20" s="67"/>
      <c r="S20" s="65"/>
      <c r="T20" s="3"/>
      <c r="U20" s="3"/>
      <c r="V20" s="3"/>
      <c r="W20" s="3"/>
      <c r="X20" s="3"/>
      <c r="Y20" s="3"/>
      <c r="Z20" s="3"/>
      <c r="AA20" s="10"/>
      <c r="AB20" s="10"/>
      <c r="AC20" s="10"/>
      <c r="AD20" s="10"/>
      <c r="AE20" s="10"/>
    </row>
    <row r="21" spans="1:31" ht="16.5" thickBo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5"/>
      <c r="P21" s="5"/>
      <c r="Q21" s="5"/>
      <c r="R21" s="5"/>
      <c r="S21" s="3"/>
      <c r="T21" s="3"/>
      <c r="U21" s="3"/>
      <c r="V21" s="3"/>
      <c r="W21" s="3"/>
      <c r="X21" s="3"/>
      <c r="Y21" s="3"/>
      <c r="Z21" s="10"/>
      <c r="AA21" s="10"/>
      <c r="AB21" s="10"/>
      <c r="AC21" s="10"/>
      <c r="AD21" s="10"/>
    </row>
    <row r="22" spans="1:31" ht="36" customHeight="1" thickBo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8" t="s">
        <v>8</v>
      </c>
      <c r="P22" s="6"/>
      <c r="Q22" s="6"/>
      <c r="R22" s="7">
        <f>SUM(VENDEDORES[Cuota UDVD])</f>
        <v>0</v>
      </c>
      <c r="S22" s="3"/>
      <c r="T22" s="3"/>
      <c r="U22" s="3"/>
      <c r="V22" s="3"/>
      <c r="W22" s="3"/>
      <c r="X22" s="3"/>
      <c r="Y22" s="3"/>
      <c r="Z22" s="10"/>
      <c r="AA22" s="10"/>
      <c r="AB22" s="10"/>
      <c r="AC22" s="10"/>
      <c r="AD22" s="10"/>
    </row>
    <row r="23" spans="1:31" ht="36" customHeight="1" thickBot="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8" t="s">
        <v>7</v>
      </c>
      <c r="P23" s="6"/>
      <c r="Q23" s="6"/>
      <c r="R23" s="7">
        <f>SUMIF(VENDEDORES[Sup],"=1",VENDEDORES[Cuota UDVD])</f>
        <v>0</v>
      </c>
      <c r="S23" s="3"/>
      <c r="T23" s="3"/>
      <c r="U23" s="3"/>
      <c r="V23" s="3"/>
      <c r="W23" s="3"/>
      <c r="X23" s="3"/>
      <c r="Y23" s="3"/>
      <c r="Z23" s="10"/>
      <c r="AA23" s="10"/>
      <c r="AB23" s="10"/>
      <c r="AC23" s="10"/>
      <c r="AD23" s="10"/>
    </row>
    <row r="24" spans="1:3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10"/>
      <c r="AA24" s="10"/>
      <c r="AB24" s="10"/>
      <c r="AC24" s="10"/>
      <c r="AD24" s="10"/>
    </row>
    <row r="25" spans="1:3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10"/>
      <c r="AA25" s="10"/>
      <c r="AB25" s="10"/>
      <c r="AC25" s="10"/>
      <c r="AD25" s="10"/>
    </row>
    <row r="26" spans="1:3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10"/>
      <c r="AA26" s="10"/>
      <c r="AB26" s="10"/>
      <c r="AC26" s="10"/>
      <c r="AD26" s="10"/>
    </row>
    <row r="27" spans="1:3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10"/>
      <c r="AA27" s="10"/>
      <c r="AB27" s="10"/>
      <c r="AC27" s="10"/>
      <c r="AD27" s="10"/>
    </row>
    <row r="28" spans="1:3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10"/>
      <c r="AA28" s="10"/>
      <c r="AB28" s="10"/>
      <c r="AC28" s="10"/>
      <c r="AD28" s="10"/>
    </row>
    <row r="29" spans="1:3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10"/>
      <c r="AA29" s="10"/>
      <c r="AB29" s="10"/>
      <c r="AC29" s="10"/>
      <c r="AD29" s="10"/>
    </row>
    <row r="30" spans="1:3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10"/>
      <c r="AA30" s="10"/>
      <c r="AB30" s="10"/>
      <c r="AC30" s="10"/>
      <c r="AD30" s="10"/>
    </row>
    <row r="31" spans="1:3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10"/>
      <c r="AA31" s="10"/>
      <c r="AB31" s="10"/>
      <c r="AC31" s="10"/>
      <c r="AD31" s="10"/>
    </row>
    <row r="32" spans="1:3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10"/>
      <c r="AA32" s="10"/>
      <c r="AB32" s="10"/>
      <c r="AC32" s="10"/>
      <c r="AD32" s="10"/>
    </row>
    <row r="33" spans="1:3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10"/>
      <c r="AA33" s="10"/>
      <c r="AB33" s="10"/>
      <c r="AC33" s="10"/>
      <c r="AD33" s="10"/>
    </row>
    <row r="34" spans="1:3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10"/>
      <c r="AA34" s="10"/>
      <c r="AB34" s="10"/>
      <c r="AC34" s="10"/>
      <c r="AD34" s="10"/>
    </row>
    <row r="35" spans="1:3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10"/>
      <c r="AA35" s="10"/>
      <c r="AB35" s="10"/>
      <c r="AC35" s="10"/>
      <c r="AD35" s="10"/>
    </row>
    <row r="36" spans="1:3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10"/>
      <c r="AA36" s="10"/>
      <c r="AB36" s="10"/>
      <c r="AC36" s="10"/>
      <c r="AD36" s="10"/>
    </row>
    <row r="37" spans="1:3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10"/>
      <c r="AA37" s="10"/>
      <c r="AB37" s="10"/>
      <c r="AC37" s="10"/>
      <c r="AD37" s="10"/>
    </row>
    <row r="38" spans="1:3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25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25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25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25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25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  <row r="47" spans="1:30" x14ac:dyDescent="0.25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</row>
    <row r="48" spans="1:30" x14ac:dyDescent="0.25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</row>
    <row r="49" spans="2:30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</row>
  </sheetData>
  <conditionalFormatting sqref="Q13:Q20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R13:S20">
    <cfRule type="cellIs" dxfId="28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1CE21-F564-4B56-AFBE-6F11C2E2A2FC}">
  <sheetPr codeName="Sheet3"/>
  <dimension ref="A1:Z50"/>
  <sheetViews>
    <sheetView tabSelected="1" zoomScale="85" zoomScaleNormal="85" workbookViewId="0">
      <selection activeCell="K8" sqref="K8"/>
    </sheetView>
  </sheetViews>
  <sheetFormatPr defaultRowHeight="18" customHeight="1" x14ac:dyDescent="0.25"/>
  <cols>
    <col min="1" max="1" width="0.85546875" customWidth="1"/>
    <col min="2" max="2" width="3.85546875" customWidth="1"/>
    <col min="3" max="3" width="14" customWidth="1"/>
    <col min="4" max="4" width="16.42578125" customWidth="1"/>
    <col min="5" max="6" width="13.140625" customWidth="1"/>
    <col min="7" max="7" width="14.7109375" customWidth="1"/>
    <col min="8" max="10" width="13.140625" customWidth="1"/>
    <col min="11" max="11" width="15.140625" customWidth="1"/>
    <col min="12" max="12" width="13.140625" customWidth="1"/>
    <col min="13" max="13" width="12.7109375" customWidth="1"/>
    <col min="16" max="16" width="10.42578125" customWidth="1"/>
    <col min="17" max="18" width="12.5703125" customWidth="1"/>
    <col min="19" max="19" width="14.140625" customWidth="1"/>
    <col min="20" max="21" width="12.5703125" customWidth="1"/>
    <col min="22" max="22" width="16" customWidth="1"/>
    <col min="23" max="23" width="14.85546875" customWidth="1"/>
    <col min="24" max="24" width="0" hidden="1" customWidth="1"/>
  </cols>
  <sheetData>
    <row r="1" spans="1:26" ht="18" customHeight="1" x14ac:dyDescent="0.25">
      <c r="A1" s="37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ht="18" customHeight="1" x14ac:dyDescent="0.25">
      <c r="A2" s="38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38"/>
    </row>
    <row r="3" spans="1:26" ht="41.25" customHeight="1" thickBot="1" x14ac:dyDescent="0.3">
      <c r="A3" s="38"/>
      <c r="B3" s="10"/>
      <c r="C3" s="30" t="s">
        <v>9</v>
      </c>
      <c r="D3" s="11"/>
      <c r="E3" s="12" t="s">
        <v>10</v>
      </c>
      <c r="F3" s="12" t="s">
        <v>11</v>
      </c>
      <c r="G3" s="33" t="s">
        <v>46</v>
      </c>
      <c r="H3" s="13" t="s">
        <v>12</v>
      </c>
      <c r="I3" s="14" t="s">
        <v>13</v>
      </c>
      <c r="J3" s="14" t="s">
        <v>14</v>
      </c>
      <c r="K3" s="35" t="s">
        <v>15</v>
      </c>
      <c r="L3" s="15" t="s">
        <v>16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8"/>
    </row>
    <row r="4" spans="1:26" ht="18" customHeight="1" thickTop="1" thickBot="1" x14ac:dyDescent="0.3">
      <c r="A4" s="38"/>
      <c r="B4" s="9"/>
      <c r="C4" s="9"/>
      <c r="D4" s="9"/>
      <c r="E4" s="9"/>
      <c r="F4" s="9"/>
      <c r="G4" s="34">
        <v>46198</v>
      </c>
      <c r="H4" s="39">
        <f>CONTROL!R23</f>
        <v>0</v>
      </c>
      <c r="I4" s="40">
        <f>CONTROL!R22</f>
        <v>0</v>
      </c>
      <c r="J4" s="41">
        <f>M10</f>
        <v>0</v>
      </c>
      <c r="K4" s="41">
        <f>DAY(fecha) / DAY(EOMONTH(fecha, 0))</f>
        <v>0.83333333333333337</v>
      </c>
      <c r="L4" s="40">
        <f>H4-H1</f>
        <v>0</v>
      </c>
      <c r="M4" s="9"/>
      <c r="N4" s="9"/>
      <c r="O4" s="9"/>
      <c r="P4" s="9"/>
      <c r="Q4" s="125"/>
      <c r="R4" s="38"/>
      <c r="S4" s="38"/>
      <c r="T4" s="38"/>
      <c r="U4" s="38"/>
      <c r="V4" s="38"/>
      <c r="W4" s="38"/>
      <c r="X4" s="38"/>
      <c r="Y4" s="38"/>
      <c r="Z4" s="38"/>
    </row>
    <row r="5" spans="1:26" ht="18" customHeight="1" thickTop="1" x14ac:dyDescent="0.25">
      <c r="A5" s="38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43"/>
      <c r="Q5" s="77"/>
      <c r="R5" s="77"/>
      <c r="S5" s="77"/>
      <c r="T5" s="77"/>
      <c r="U5" s="77"/>
      <c r="V5" s="77"/>
      <c r="W5" s="77"/>
      <c r="X5" s="77"/>
      <c r="Y5" s="124"/>
      <c r="Z5" s="38"/>
    </row>
    <row r="6" spans="1:26" ht="12.75" customHeight="1" thickBot="1" x14ac:dyDescent="0.3">
      <c r="A6" s="3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72" t="s">
        <v>2</v>
      </c>
      <c r="N6" s="9"/>
      <c r="O6" s="9"/>
      <c r="P6" s="43"/>
      <c r="Q6" s="9"/>
      <c r="R6" s="9"/>
      <c r="S6" s="9"/>
      <c r="T6" s="9"/>
      <c r="U6" s="9"/>
      <c r="V6" s="9"/>
      <c r="W6" s="9"/>
      <c r="X6" s="9"/>
      <c r="Y6" s="123"/>
      <c r="Z6" s="38"/>
    </row>
    <row r="7" spans="1:26" ht="33.75" hidden="1" customHeight="1" thickBot="1" x14ac:dyDescent="0.3">
      <c r="A7" s="38"/>
      <c r="B7" s="9"/>
      <c r="C7" s="9"/>
      <c r="D7" s="9"/>
      <c r="E7" s="9"/>
      <c r="F7" s="9"/>
      <c r="G7" s="9"/>
      <c r="N7" s="9"/>
      <c r="O7" s="9"/>
      <c r="P7" s="9"/>
      <c r="Q7" s="38"/>
      <c r="R7" s="42"/>
      <c r="S7" s="38"/>
      <c r="T7" s="38"/>
      <c r="U7" s="38"/>
      <c r="V7" s="38"/>
      <c r="X7" s="9"/>
      <c r="Y7" s="123"/>
      <c r="Z7" s="38"/>
    </row>
    <row r="8" spans="1:26" ht="32.25" customHeight="1" thickBot="1" x14ac:dyDescent="0.3">
      <c r="A8" s="38"/>
      <c r="B8" s="9"/>
      <c r="C8" s="9"/>
      <c r="D8" s="83" t="s">
        <v>17</v>
      </c>
      <c r="E8" s="84">
        <f>_xlfn.XLOOKUP(tabla24[[#Headers],[R-10]],VENDEDORES[Ruta],VENDEDORES[Cuota UDVD])</f>
        <v>0</v>
      </c>
      <c r="F8" s="84">
        <f>_xlfn.XLOOKUP(tabla24[[#Headers],[R-15]],VENDEDORES[Ruta],VENDEDORES[Cuota UDVD])</f>
        <v>0</v>
      </c>
      <c r="G8" s="84">
        <f>_xlfn.XLOOKUP(tabla24[[#Headers],[R-17]],VENDEDORES[Ruta],VENDEDORES[Cuota UDVD])</f>
        <v>0</v>
      </c>
      <c r="H8" s="84">
        <f>_xlfn.XLOOKUP(tabla24[[#Headers],[R-30]],VENDEDORES[Ruta],VENDEDORES[Cuota UDVD])</f>
        <v>0</v>
      </c>
      <c r="I8" s="84">
        <f>_xlfn.XLOOKUP(tabla24[[#Headers],[R-32]],VENDEDORES[Ruta],VENDEDORES[Cuota UDVD])</f>
        <v>0</v>
      </c>
      <c r="J8" s="84">
        <f>_xlfn.XLOOKUP(tabla24[[#Headers],[R-39]],VENDEDORES[Ruta],VENDEDORES[Cuota UDVD])</f>
        <v>0</v>
      </c>
      <c r="K8" s="84">
        <f>_xlfn.XLOOKUP(tabla24[[#Headers],[R-21]],VENDEDORES[Ruta],VENDEDORES[Cuota UDVD])</f>
        <v>0</v>
      </c>
      <c r="L8" s="84">
        <f>_xlfn.XLOOKUP(tabla24[[#Headers],[R-26]],VENDEDORES[Ruta],VENDEDORES[Cuota UDVD])</f>
        <v>0</v>
      </c>
      <c r="M8" s="85">
        <f>SUM(E8:L8)</f>
        <v>0</v>
      </c>
      <c r="N8" s="9"/>
      <c r="O8" s="9"/>
      <c r="P8" s="57" t="s">
        <v>0</v>
      </c>
      <c r="Q8" s="58" t="s">
        <v>47</v>
      </c>
      <c r="R8" s="58" t="s">
        <v>48</v>
      </c>
      <c r="S8" s="58" t="s">
        <v>49</v>
      </c>
      <c r="T8" s="58" t="s">
        <v>50</v>
      </c>
      <c r="U8" s="58" t="s">
        <v>51</v>
      </c>
      <c r="V8" s="59" t="s">
        <v>53</v>
      </c>
      <c r="W8" s="60" t="s">
        <v>52</v>
      </c>
      <c r="X8" s="9"/>
      <c r="Y8" s="123"/>
      <c r="Z8" s="38"/>
    </row>
    <row r="9" spans="1:26" ht="18" customHeight="1" x14ac:dyDescent="0.25">
      <c r="A9" s="38"/>
      <c r="B9" s="9"/>
      <c r="C9" s="9">
        <v>5</v>
      </c>
      <c r="D9" s="86" t="s">
        <v>18</v>
      </c>
      <c r="E9" s="31" t="s">
        <v>19</v>
      </c>
      <c r="F9" s="31" t="s">
        <v>20</v>
      </c>
      <c r="G9" s="31" t="s">
        <v>21</v>
      </c>
      <c r="H9" s="31" t="s">
        <v>22</v>
      </c>
      <c r="I9" s="31" t="s">
        <v>23</v>
      </c>
      <c r="J9" s="31" t="s">
        <v>24</v>
      </c>
      <c r="K9" s="31" t="s">
        <v>25</v>
      </c>
      <c r="L9" s="31" t="s">
        <v>26</v>
      </c>
      <c r="M9" s="87" t="s">
        <v>27</v>
      </c>
      <c r="N9" s="9"/>
      <c r="O9" s="9"/>
      <c r="P9" s="44">
        <v>1</v>
      </c>
      <c r="Q9" s="47"/>
      <c r="R9" s="48"/>
      <c r="S9" s="49"/>
      <c r="T9" s="49"/>
      <c r="U9" s="49"/>
      <c r="V9" s="56">
        <f>Q9-R9-S9-T9-U9</f>
        <v>0</v>
      </c>
      <c r="W9" s="129">
        <f>IFERROR((R9+S9+T9+U9)/Q9,0)</f>
        <v>0</v>
      </c>
      <c r="X9" s="9"/>
      <c r="Y9" s="123"/>
      <c r="Z9" s="38"/>
    </row>
    <row r="10" spans="1:26" ht="18" customHeight="1" thickBot="1" x14ac:dyDescent="0.3">
      <c r="A10" s="38"/>
      <c r="B10" s="9"/>
      <c r="C10" s="9">
        <v>6</v>
      </c>
      <c r="D10" s="88" t="s">
        <v>28</v>
      </c>
      <c r="E10" s="32">
        <f>U30</f>
        <v>0</v>
      </c>
      <c r="F10" s="32">
        <f>U31</f>
        <v>0</v>
      </c>
      <c r="G10" s="32">
        <f>U32</f>
        <v>0</v>
      </c>
      <c r="H10" s="32">
        <f>U34</f>
        <v>0</v>
      </c>
      <c r="I10" s="32">
        <f>U35</f>
        <v>0</v>
      </c>
      <c r="J10" s="32">
        <f>U36</f>
        <v>0</v>
      </c>
      <c r="K10" s="32">
        <f>U33</f>
        <v>0</v>
      </c>
      <c r="L10" s="32">
        <f>U40</f>
        <v>0</v>
      </c>
      <c r="M10" s="89">
        <f>G6</f>
        <v>0</v>
      </c>
      <c r="N10" s="9"/>
      <c r="O10" s="9"/>
      <c r="P10" s="45">
        <v>7</v>
      </c>
      <c r="Q10" s="50"/>
      <c r="R10" s="51"/>
      <c r="S10" s="52"/>
      <c r="T10" s="52"/>
      <c r="U10" s="52"/>
      <c r="V10" s="52">
        <f t="shared" ref="V10:V20" si="0">Q10-R10-S10-T10-U10</f>
        <v>0</v>
      </c>
      <c r="W10" s="61">
        <f t="shared" ref="W10:W20" si="1">IFERROR((R10+S10+T10+U10)/Q10,0)</f>
        <v>0</v>
      </c>
      <c r="X10" s="9"/>
      <c r="Y10" s="123"/>
      <c r="Z10" s="38"/>
    </row>
    <row r="11" spans="1:26" ht="18" customHeight="1" x14ac:dyDescent="0.25">
      <c r="A11" s="38"/>
      <c r="B11" s="9"/>
      <c r="C11" s="144" t="s">
        <v>29</v>
      </c>
      <c r="D11" s="90" t="s">
        <v>30</v>
      </c>
      <c r="E11" s="16"/>
      <c r="F11" s="16"/>
      <c r="G11" s="16"/>
      <c r="H11" s="16"/>
      <c r="I11" s="16"/>
      <c r="J11" s="16"/>
      <c r="K11" s="16"/>
      <c r="L11" s="16"/>
      <c r="M11" s="91">
        <f>SUM(E11:K11)</f>
        <v>0</v>
      </c>
      <c r="N11" s="9"/>
      <c r="O11" s="9"/>
      <c r="P11" s="45">
        <v>10</v>
      </c>
      <c r="Q11" s="50"/>
      <c r="R11" s="51"/>
      <c r="S11" s="52"/>
      <c r="T11" s="52"/>
      <c r="U11" s="52"/>
      <c r="V11" s="52">
        <f t="shared" si="0"/>
        <v>0</v>
      </c>
      <c r="W11" s="61">
        <f t="shared" si="1"/>
        <v>0</v>
      </c>
      <c r="X11" s="9"/>
      <c r="Y11" s="123"/>
      <c r="Z11" s="38"/>
    </row>
    <row r="12" spans="1:26" ht="18" customHeight="1" x14ac:dyDescent="0.25">
      <c r="A12" s="38"/>
      <c r="B12" s="9"/>
      <c r="C12" s="145"/>
      <c r="D12" s="92" t="s">
        <v>31</v>
      </c>
      <c r="E12" s="17"/>
      <c r="F12" s="17"/>
      <c r="G12" s="17"/>
      <c r="H12" s="17"/>
      <c r="I12" s="17"/>
      <c r="J12" s="17"/>
      <c r="K12" s="17"/>
      <c r="L12" s="17"/>
      <c r="M12" s="93">
        <f>SUM(E12:L12)</f>
        <v>0</v>
      </c>
      <c r="N12" s="9"/>
      <c r="O12" s="9"/>
      <c r="P12" s="45">
        <v>12</v>
      </c>
      <c r="Q12" s="50"/>
      <c r="R12" s="51"/>
      <c r="S12" s="52"/>
      <c r="T12" s="52"/>
      <c r="U12" s="52"/>
      <c r="V12" s="52">
        <f t="shared" si="0"/>
        <v>0</v>
      </c>
      <c r="W12" s="61">
        <f t="shared" si="1"/>
        <v>0</v>
      </c>
      <c r="X12" s="9"/>
      <c r="Y12" s="123"/>
      <c r="Z12" s="38"/>
    </row>
    <row r="13" spans="1:26" ht="18" customHeight="1" x14ac:dyDescent="0.25">
      <c r="A13" s="38"/>
      <c r="B13" s="9"/>
      <c r="C13" s="145"/>
      <c r="D13" s="92" t="s">
        <v>32</v>
      </c>
      <c r="E13" s="18">
        <f>IFERROR(E12/E11,0)</f>
        <v>0</v>
      </c>
      <c r="F13" s="18">
        <f t="shared" ref="F13:L13" si="2">IFERROR(F12/F11,0)</f>
        <v>0</v>
      </c>
      <c r="G13" s="18">
        <f t="shared" si="2"/>
        <v>0</v>
      </c>
      <c r="H13" s="18">
        <f t="shared" si="2"/>
        <v>0</v>
      </c>
      <c r="I13" s="18">
        <f t="shared" si="2"/>
        <v>0</v>
      </c>
      <c r="J13" s="18">
        <f t="shared" si="2"/>
        <v>0</v>
      </c>
      <c r="K13" s="18">
        <f t="shared" si="2"/>
        <v>0</v>
      </c>
      <c r="L13" s="18">
        <f t="shared" si="2"/>
        <v>0</v>
      </c>
      <c r="M13" s="94">
        <f>IFERROR(M12/M11,0)</f>
        <v>0</v>
      </c>
      <c r="N13" s="9"/>
      <c r="O13" s="9"/>
      <c r="P13" s="45">
        <v>15</v>
      </c>
      <c r="Q13" s="50"/>
      <c r="R13" s="51"/>
      <c r="S13" s="52"/>
      <c r="T13" s="52"/>
      <c r="U13" s="52"/>
      <c r="V13" s="52">
        <f t="shared" si="0"/>
        <v>0</v>
      </c>
      <c r="W13" s="61">
        <f t="shared" si="1"/>
        <v>0</v>
      </c>
      <c r="X13" s="9"/>
      <c r="Y13" s="123"/>
      <c r="Z13" s="38"/>
    </row>
    <row r="14" spans="1:26" ht="18" customHeight="1" x14ac:dyDescent="0.25">
      <c r="A14" s="38"/>
      <c r="B14" s="9"/>
      <c r="C14" s="145"/>
      <c r="D14" s="92" t="s">
        <v>33</v>
      </c>
      <c r="E14" s="19"/>
      <c r="F14" s="19"/>
      <c r="G14" s="19"/>
      <c r="H14" s="19"/>
      <c r="I14" s="19"/>
      <c r="J14" s="19"/>
      <c r="K14" s="19"/>
      <c r="L14" s="19"/>
      <c r="M14" s="95">
        <f>SUM(E14:L14)</f>
        <v>0</v>
      </c>
      <c r="N14" s="9"/>
      <c r="O14" s="9"/>
      <c r="P14" s="45">
        <v>17</v>
      </c>
      <c r="Q14" s="50"/>
      <c r="R14" s="51"/>
      <c r="S14" s="52"/>
      <c r="T14" s="52"/>
      <c r="U14" s="52"/>
      <c r="V14" s="52">
        <f t="shared" si="0"/>
        <v>0</v>
      </c>
      <c r="W14" s="61">
        <f t="shared" si="1"/>
        <v>0</v>
      </c>
      <c r="X14" s="9"/>
      <c r="Y14" s="123"/>
      <c r="Z14" s="38"/>
    </row>
    <row r="15" spans="1:26" ht="18" customHeight="1" x14ac:dyDescent="0.25">
      <c r="A15" s="38"/>
      <c r="B15" s="9"/>
      <c r="C15" s="145"/>
      <c r="D15" s="92" t="s">
        <v>34</v>
      </c>
      <c r="E15" s="17"/>
      <c r="F15" s="17"/>
      <c r="G15" s="17"/>
      <c r="H15" s="17"/>
      <c r="I15" s="17"/>
      <c r="J15" s="17"/>
      <c r="K15" s="17"/>
      <c r="L15" s="17"/>
      <c r="M15" s="93">
        <f>SUM(E15:L15)</f>
        <v>0</v>
      </c>
      <c r="N15" s="9"/>
      <c r="O15" s="9"/>
      <c r="P15" s="45">
        <v>21</v>
      </c>
      <c r="Q15" s="50"/>
      <c r="R15" s="51"/>
      <c r="S15" s="52"/>
      <c r="T15" s="52"/>
      <c r="U15" s="52"/>
      <c r="V15" s="52">
        <f t="shared" si="0"/>
        <v>0</v>
      </c>
      <c r="W15" s="61">
        <f t="shared" si="1"/>
        <v>0</v>
      </c>
      <c r="X15" s="9"/>
      <c r="Y15" s="123"/>
      <c r="Z15" s="38"/>
    </row>
    <row r="16" spans="1:26" ht="18" customHeight="1" x14ac:dyDescent="0.25">
      <c r="A16" s="38"/>
      <c r="B16" s="9"/>
      <c r="C16" s="145"/>
      <c r="D16" s="92" t="s">
        <v>32</v>
      </c>
      <c r="E16" s="18">
        <f>IFERROR(E15/E14,0)</f>
        <v>0</v>
      </c>
      <c r="F16" s="18">
        <f t="shared" ref="F16:M16" si="3">IFERROR(F15/F14,0)</f>
        <v>0</v>
      </c>
      <c r="G16" s="18">
        <f t="shared" si="3"/>
        <v>0</v>
      </c>
      <c r="H16" s="18">
        <f t="shared" si="3"/>
        <v>0</v>
      </c>
      <c r="I16" s="18">
        <f t="shared" si="3"/>
        <v>0</v>
      </c>
      <c r="J16" s="18">
        <f t="shared" si="3"/>
        <v>0</v>
      </c>
      <c r="K16" s="18">
        <f t="shared" si="3"/>
        <v>0</v>
      </c>
      <c r="L16" s="18">
        <f t="shared" si="3"/>
        <v>0</v>
      </c>
      <c r="M16" s="94">
        <f t="shared" si="3"/>
        <v>0</v>
      </c>
      <c r="N16" s="9"/>
      <c r="O16" s="9"/>
      <c r="P16" s="45">
        <v>26</v>
      </c>
      <c r="Q16" s="50"/>
      <c r="R16" s="51"/>
      <c r="S16" s="52"/>
      <c r="T16" s="52"/>
      <c r="U16" s="52"/>
      <c r="V16" s="52">
        <f t="shared" si="0"/>
        <v>0</v>
      </c>
      <c r="W16" s="61">
        <f t="shared" si="1"/>
        <v>0</v>
      </c>
      <c r="X16" s="9"/>
      <c r="Y16" s="123"/>
      <c r="Z16" s="38"/>
    </row>
    <row r="17" spans="1:26" ht="18" customHeight="1" x14ac:dyDescent="0.25">
      <c r="A17" s="38"/>
      <c r="B17" s="9"/>
      <c r="C17" s="145"/>
      <c r="D17" s="92" t="s">
        <v>35</v>
      </c>
      <c r="E17" s="20"/>
      <c r="F17" s="20"/>
      <c r="G17" s="20"/>
      <c r="H17" s="20"/>
      <c r="I17" s="20"/>
      <c r="J17" s="20"/>
      <c r="K17" s="20"/>
      <c r="L17" s="20"/>
      <c r="M17" s="96">
        <f>SUM(E17:L17)</f>
        <v>0</v>
      </c>
      <c r="N17" s="9"/>
      <c r="O17" s="9"/>
      <c r="P17" s="45">
        <v>30</v>
      </c>
      <c r="Q17" s="50"/>
      <c r="R17" s="51"/>
      <c r="S17" s="52"/>
      <c r="T17" s="52"/>
      <c r="U17" s="52"/>
      <c r="V17" s="52">
        <f t="shared" si="0"/>
        <v>0</v>
      </c>
      <c r="W17" s="61">
        <f t="shared" si="1"/>
        <v>0</v>
      </c>
      <c r="X17" s="9"/>
      <c r="Y17" s="123"/>
      <c r="Z17" s="38"/>
    </row>
    <row r="18" spans="1:26" ht="18" customHeight="1" x14ac:dyDescent="0.25">
      <c r="A18" s="38"/>
      <c r="B18" s="9"/>
      <c r="C18" s="145"/>
      <c r="D18" s="92" t="s">
        <v>36</v>
      </c>
      <c r="E18" s="21"/>
      <c r="F18" s="21"/>
      <c r="G18" s="21"/>
      <c r="H18" s="21"/>
      <c r="I18" s="21"/>
      <c r="J18" s="21"/>
      <c r="K18" s="21"/>
      <c r="L18" s="21"/>
      <c r="M18" s="97">
        <f>SUM(E18:L18)</f>
        <v>0</v>
      </c>
      <c r="N18" s="9"/>
      <c r="O18" s="9"/>
      <c r="P18" s="45">
        <v>33</v>
      </c>
      <c r="Q18" s="50"/>
      <c r="R18" s="51"/>
      <c r="S18" s="52"/>
      <c r="T18" s="52"/>
      <c r="U18" s="52"/>
      <c r="V18" s="52">
        <f t="shared" si="0"/>
        <v>0</v>
      </c>
      <c r="W18" s="61">
        <f t="shared" si="1"/>
        <v>0</v>
      </c>
      <c r="X18" s="9"/>
      <c r="Y18" s="123"/>
      <c r="Z18" s="38"/>
    </row>
    <row r="19" spans="1:26" ht="18" customHeight="1" x14ac:dyDescent="0.25">
      <c r="A19" s="38"/>
      <c r="B19" s="9"/>
      <c r="C19" s="145"/>
      <c r="D19" s="92" t="s">
        <v>32</v>
      </c>
      <c r="E19" s="18">
        <f>IFERROR(E18/E17,0)</f>
        <v>0</v>
      </c>
      <c r="F19" s="18">
        <f t="shared" ref="F19:M19" si="4">IFERROR(F18/F17,0)</f>
        <v>0</v>
      </c>
      <c r="G19" s="18">
        <f t="shared" si="4"/>
        <v>0</v>
      </c>
      <c r="H19" s="18">
        <f t="shared" si="4"/>
        <v>0</v>
      </c>
      <c r="I19" s="18">
        <f t="shared" si="4"/>
        <v>0</v>
      </c>
      <c r="J19" s="18">
        <f t="shared" si="4"/>
        <v>0</v>
      </c>
      <c r="K19" s="18">
        <f t="shared" si="4"/>
        <v>0</v>
      </c>
      <c r="L19" s="18">
        <f t="shared" si="4"/>
        <v>0</v>
      </c>
      <c r="M19" s="94">
        <f t="shared" si="4"/>
        <v>0</v>
      </c>
      <c r="N19" s="9"/>
      <c r="O19" s="9"/>
      <c r="P19" s="45">
        <v>32</v>
      </c>
      <c r="Q19" s="50"/>
      <c r="R19" s="51"/>
      <c r="S19" s="52"/>
      <c r="T19" s="52"/>
      <c r="U19" s="52"/>
      <c r="V19" s="52">
        <f t="shared" si="0"/>
        <v>0</v>
      </c>
      <c r="W19" s="61">
        <f t="shared" si="1"/>
        <v>0</v>
      </c>
      <c r="X19" s="9"/>
      <c r="Y19" s="123"/>
      <c r="Z19" s="38"/>
    </row>
    <row r="20" spans="1:26" ht="18" customHeight="1" thickBot="1" x14ac:dyDescent="0.3">
      <c r="A20" s="38"/>
      <c r="B20" s="9"/>
      <c r="C20" s="145"/>
      <c r="D20" s="98" t="s">
        <v>37</v>
      </c>
      <c r="E20" s="22"/>
      <c r="F20" s="22"/>
      <c r="G20" s="22"/>
      <c r="H20" s="22"/>
      <c r="I20" s="23"/>
      <c r="J20" s="24"/>
      <c r="K20" s="24"/>
      <c r="L20" s="22"/>
      <c r="M20" s="99"/>
      <c r="N20" s="9"/>
      <c r="O20" s="9"/>
      <c r="P20" s="46">
        <v>39</v>
      </c>
      <c r="Q20" s="53"/>
      <c r="R20" s="54"/>
      <c r="S20" s="55"/>
      <c r="T20" s="55"/>
      <c r="U20" s="55"/>
      <c r="V20" s="52">
        <f t="shared" si="0"/>
        <v>0</v>
      </c>
      <c r="W20" s="61">
        <f t="shared" si="1"/>
        <v>0</v>
      </c>
      <c r="X20" s="9"/>
      <c r="Y20" s="123"/>
      <c r="Z20" s="38"/>
    </row>
    <row r="21" spans="1:26" ht="18" customHeight="1" thickBot="1" x14ac:dyDescent="0.3">
      <c r="A21" s="38"/>
      <c r="B21" s="9"/>
      <c r="C21" s="145"/>
      <c r="D21" s="100" t="s">
        <v>38</v>
      </c>
      <c r="E21" s="25"/>
      <c r="F21" s="25"/>
      <c r="G21" s="25"/>
      <c r="H21" s="25"/>
      <c r="I21" s="25"/>
      <c r="J21" s="26"/>
      <c r="K21" s="26"/>
      <c r="L21" s="27"/>
      <c r="M21" s="101">
        <f>SUM(E21:L21)</f>
        <v>0</v>
      </c>
      <c r="N21" s="9"/>
      <c r="O21" s="9"/>
      <c r="P21" s="62" t="s">
        <v>54</v>
      </c>
      <c r="Q21" s="63">
        <f>SUM(Q9:Q20)</f>
        <v>0</v>
      </c>
      <c r="R21" s="63">
        <f t="shared" ref="R21:W21" si="5">SUM(R9:R20)</f>
        <v>0</v>
      </c>
      <c r="S21" s="63">
        <f t="shared" si="5"/>
        <v>0</v>
      </c>
      <c r="T21" s="63">
        <f t="shared" si="5"/>
        <v>0</v>
      </c>
      <c r="U21" s="63">
        <f t="shared" si="5"/>
        <v>0</v>
      </c>
      <c r="V21" s="63">
        <f t="shared" si="5"/>
        <v>0</v>
      </c>
      <c r="W21" s="64">
        <f t="shared" si="5"/>
        <v>0</v>
      </c>
      <c r="Y21" s="123"/>
      <c r="Z21" s="38"/>
    </row>
    <row r="22" spans="1:26" ht="18" hidden="1" customHeight="1" x14ac:dyDescent="0.25">
      <c r="A22" s="38"/>
      <c r="B22" s="9"/>
      <c r="C22" s="145"/>
      <c r="D22" s="92" t="s">
        <v>39</v>
      </c>
      <c r="E22" s="28"/>
      <c r="F22" s="28"/>
      <c r="G22" s="28"/>
      <c r="H22" s="28"/>
      <c r="I22" s="28"/>
      <c r="J22" s="28"/>
      <c r="K22" s="28"/>
      <c r="L22" s="28">
        <f t="shared" ref="L22" si="6">L18</f>
        <v>0</v>
      </c>
      <c r="M22" s="102">
        <f>SUM(E22:L22)</f>
        <v>0</v>
      </c>
      <c r="N22" s="9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123"/>
      <c r="Z22" s="38"/>
    </row>
    <row r="23" spans="1:26" ht="18" hidden="1" customHeight="1" thickBot="1" x14ac:dyDescent="0.3">
      <c r="A23" s="38"/>
      <c r="B23" s="9"/>
      <c r="C23" s="145"/>
      <c r="D23" s="103" t="s">
        <v>40</v>
      </c>
      <c r="E23" s="29">
        <f>IFERROR(E22/E21,0)</f>
        <v>0</v>
      </c>
      <c r="F23" s="29">
        <f t="shared" ref="F23:L23" si="7">IFERROR(F22/F21,0)</f>
        <v>0</v>
      </c>
      <c r="G23" s="29">
        <f t="shared" si="7"/>
        <v>0</v>
      </c>
      <c r="H23" s="29">
        <f t="shared" si="7"/>
        <v>0</v>
      </c>
      <c r="I23" s="29">
        <f t="shared" si="7"/>
        <v>0</v>
      </c>
      <c r="J23" s="29">
        <f t="shared" si="7"/>
        <v>0</v>
      </c>
      <c r="K23" s="29">
        <f t="shared" si="7"/>
        <v>0</v>
      </c>
      <c r="L23" s="29">
        <f t="shared" si="7"/>
        <v>0</v>
      </c>
      <c r="M23" s="104"/>
      <c r="N23" s="9"/>
      <c r="O23" s="43"/>
      <c r="P23" s="9"/>
      <c r="Q23" s="9"/>
      <c r="R23" s="9"/>
      <c r="S23" s="9"/>
      <c r="T23" s="9"/>
      <c r="U23" s="9"/>
      <c r="V23" s="9"/>
      <c r="W23" s="9"/>
      <c r="X23" s="43"/>
      <c r="Y23" s="123"/>
      <c r="Z23" s="38"/>
    </row>
    <row r="24" spans="1:26" ht="18" customHeight="1" x14ac:dyDescent="0.25">
      <c r="A24" s="38"/>
      <c r="B24" s="9"/>
      <c r="C24" s="146" t="s">
        <v>41</v>
      </c>
      <c r="D24" s="105" t="s">
        <v>30</v>
      </c>
      <c r="E24" s="16"/>
      <c r="F24" s="16"/>
      <c r="G24" s="16"/>
      <c r="H24" s="16"/>
      <c r="I24" s="16"/>
      <c r="J24" s="16"/>
      <c r="K24" s="16"/>
      <c r="L24" s="16"/>
      <c r="M24" s="91">
        <f>SUM(E24:K24)</f>
        <v>0</v>
      </c>
      <c r="N24" s="9"/>
      <c r="O24" s="43"/>
      <c r="P24" s="9"/>
      <c r="Q24" s="9"/>
      <c r="R24" s="9"/>
      <c r="S24" s="9"/>
      <c r="T24" s="9"/>
      <c r="U24" s="9"/>
      <c r="V24" s="9"/>
      <c r="W24" s="9"/>
      <c r="X24" s="43"/>
      <c r="Y24" s="123"/>
      <c r="Z24" s="38"/>
    </row>
    <row r="25" spans="1:26" ht="18" customHeight="1" x14ac:dyDescent="0.25">
      <c r="A25" s="38"/>
      <c r="B25" s="9"/>
      <c r="C25" s="147"/>
      <c r="D25" s="106" t="s">
        <v>42</v>
      </c>
      <c r="E25" s="19"/>
      <c r="F25" s="19"/>
      <c r="G25" s="19"/>
      <c r="H25" s="19"/>
      <c r="I25" s="19"/>
      <c r="J25" s="19"/>
      <c r="K25" s="19"/>
      <c r="L25" s="19"/>
      <c r="M25" s="95">
        <f>SUM(E25:K25)</f>
        <v>0</v>
      </c>
      <c r="N25" s="9"/>
      <c r="O25" s="43"/>
      <c r="P25" s="9"/>
      <c r="Q25" s="9"/>
      <c r="R25" s="9"/>
      <c r="S25" s="9"/>
      <c r="T25" s="9"/>
      <c r="U25" s="9"/>
      <c r="V25" s="9"/>
      <c r="W25" s="9"/>
      <c r="X25" s="43"/>
      <c r="Y25" s="123"/>
      <c r="Z25" s="38"/>
    </row>
    <row r="26" spans="1:26" ht="18" customHeight="1" thickBot="1" x14ac:dyDescent="0.3">
      <c r="A26" s="38"/>
      <c r="B26" s="9"/>
      <c r="C26" s="147"/>
      <c r="D26" s="106" t="s">
        <v>35</v>
      </c>
      <c r="E26" s="20"/>
      <c r="F26" s="20"/>
      <c r="G26" s="20"/>
      <c r="H26" s="20"/>
      <c r="I26" s="20"/>
      <c r="J26" s="20"/>
      <c r="K26" s="20"/>
      <c r="L26" s="20"/>
      <c r="M26" s="107">
        <f>SUM(E26:K26)</f>
        <v>0</v>
      </c>
      <c r="N26" s="9"/>
      <c r="O26" s="43"/>
      <c r="P26" s="9"/>
      <c r="Q26" s="9"/>
      <c r="R26" s="9"/>
      <c r="S26" s="9"/>
      <c r="T26" s="9"/>
      <c r="U26" s="9"/>
      <c r="V26" s="9"/>
      <c r="W26" s="9"/>
      <c r="X26" s="43"/>
      <c r="Y26" s="123"/>
      <c r="Z26" s="38"/>
    </row>
    <row r="27" spans="1:26" ht="18" customHeight="1" thickBot="1" x14ac:dyDescent="0.3">
      <c r="A27" s="38"/>
      <c r="B27" s="9"/>
      <c r="C27" s="148"/>
      <c r="D27" s="108" t="s">
        <v>43</v>
      </c>
      <c r="E27" s="109"/>
      <c r="F27" s="109"/>
      <c r="G27" s="109"/>
      <c r="H27" s="109"/>
      <c r="I27" s="109"/>
      <c r="J27" s="110"/>
      <c r="K27" s="110"/>
      <c r="L27" s="111"/>
      <c r="M27" s="112">
        <f>SUM(E27:L27)</f>
        <v>0</v>
      </c>
      <c r="N27" s="9"/>
      <c r="O27" s="43"/>
      <c r="P27" s="9"/>
      <c r="Q27" s="9"/>
      <c r="R27" s="9"/>
      <c r="S27" s="9"/>
      <c r="T27" s="9"/>
      <c r="U27" s="9"/>
      <c r="V27" s="9"/>
      <c r="W27" s="9"/>
      <c r="X27" s="43"/>
      <c r="Y27" s="123"/>
      <c r="Z27" s="38"/>
    </row>
    <row r="28" spans="1:26" ht="18" customHeight="1" thickBot="1" x14ac:dyDescent="0.3">
      <c r="A28" s="38"/>
      <c r="B28" s="9"/>
      <c r="C28" s="9"/>
      <c r="D28" s="9"/>
      <c r="E28" s="149" t="s">
        <v>44</v>
      </c>
      <c r="F28" s="150"/>
      <c r="G28" s="151"/>
      <c r="H28" s="82">
        <f>M24</f>
        <v>0</v>
      </c>
      <c r="I28" s="9"/>
      <c r="J28" s="9"/>
      <c r="K28" s="9"/>
      <c r="L28" s="9"/>
      <c r="M28" s="9"/>
      <c r="N28" s="9"/>
      <c r="O28" s="9"/>
      <c r="P28" s="116"/>
      <c r="Q28" s="155" t="s">
        <v>57</v>
      </c>
      <c r="R28" s="155"/>
      <c r="S28" s="155"/>
      <c r="T28" s="155"/>
      <c r="U28" s="155"/>
      <c r="V28" s="155"/>
      <c r="W28" s="117"/>
      <c r="X28" s="43"/>
      <c r="Y28" s="123"/>
      <c r="Z28" s="38"/>
    </row>
    <row r="29" spans="1:26" ht="18" customHeight="1" thickBot="1" x14ac:dyDescent="0.3">
      <c r="A29" s="38"/>
      <c r="B29" s="9"/>
      <c r="C29" s="9"/>
      <c r="D29" s="9"/>
      <c r="E29" s="152" t="s">
        <v>45</v>
      </c>
      <c r="F29" s="153"/>
      <c r="G29" s="154"/>
      <c r="H29" s="36">
        <f>M26</f>
        <v>0</v>
      </c>
      <c r="I29" s="9"/>
      <c r="J29" s="9"/>
      <c r="K29" s="9"/>
      <c r="L29" s="9"/>
      <c r="M29" s="9"/>
      <c r="N29" s="9"/>
      <c r="O29" s="9"/>
      <c r="P29" s="120"/>
      <c r="Q29" s="121" t="s">
        <v>59</v>
      </c>
      <c r="R29" s="121" t="s">
        <v>55</v>
      </c>
      <c r="S29" s="121" t="s">
        <v>56</v>
      </c>
      <c r="T29" s="121" t="s">
        <v>39</v>
      </c>
      <c r="U29" s="121" t="s">
        <v>60</v>
      </c>
      <c r="V29" s="121" t="s">
        <v>61</v>
      </c>
      <c r="W29" s="122" t="s">
        <v>62</v>
      </c>
      <c r="X29" s="121" t="s">
        <v>63</v>
      </c>
      <c r="Y29" s="123"/>
      <c r="Z29" s="38"/>
    </row>
    <row r="30" spans="1:26" ht="18" customHeight="1" thickTop="1" x14ac:dyDescent="0.25">
      <c r="A30" s="3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81"/>
      <c r="Q30" s="126" t="s">
        <v>19</v>
      </c>
      <c r="R30" s="127">
        <f>_xlfn.XLOOKUP(Plantilla!Q30,VENDEDORES[Ruta],VENDEDORES[Cuota UDVD])</f>
        <v>0</v>
      </c>
      <c r="S30" s="133">
        <f>_xlfn.XLOOKUP(Plantilla!Q30,VENDEDORES[Ruta],VENDEDORES[Cuota $])</f>
        <v>0</v>
      </c>
      <c r="T30" s="77">
        <f>X30+E12</f>
        <v>0</v>
      </c>
      <c r="U30" s="136">
        <f>IFERROR(T30/R30,0)</f>
        <v>0</v>
      </c>
      <c r="V30" s="130"/>
      <c r="W30" s="80"/>
      <c r="X30" s="43"/>
      <c r="Y30" s="123"/>
      <c r="Z30" s="38"/>
    </row>
    <row r="31" spans="1:26" ht="18" customHeight="1" x14ac:dyDescent="0.25">
      <c r="A31" s="3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78"/>
      <c r="Q31" s="113" t="s">
        <v>20</v>
      </c>
      <c r="R31" s="43">
        <f>_xlfn.XLOOKUP(Plantilla!Q31,VENDEDORES[Ruta],VENDEDORES[Cuota UDVD])</f>
        <v>0</v>
      </c>
      <c r="S31" s="134">
        <f>_xlfn.XLOOKUP(Plantilla!Q31,VENDEDORES[Ruta],VENDEDORES[Cuota $])</f>
        <v>0</v>
      </c>
      <c r="T31" s="43">
        <f>X31+F12</f>
        <v>0</v>
      </c>
      <c r="U31" s="137">
        <f t="shared" ref="U31:U35" si="8">IFERROR(T31/R31,0)</f>
        <v>0</v>
      </c>
      <c r="V31" s="131"/>
      <c r="W31" s="79"/>
      <c r="X31" s="43"/>
      <c r="Y31" s="123"/>
      <c r="Z31" s="38"/>
    </row>
    <row r="32" spans="1:26" ht="21.75" customHeight="1" x14ac:dyDescent="0.25">
      <c r="A32" s="3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78"/>
      <c r="Q32" s="113" t="s">
        <v>21</v>
      </c>
      <c r="R32" s="43">
        <f>_xlfn.XLOOKUP(Plantilla!Q32,VENDEDORES[Ruta],VENDEDORES[Cuota UDVD])</f>
        <v>0</v>
      </c>
      <c r="S32" s="134">
        <f>_xlfn.XLOOKUP(Plantilla!Q32,VENDEDORES[Ruta],VENDEDORES[Cuota $])</f>
        <v>0</v>
      </c>
      <c r="T32" s="43">
        <f>X32+G12</f>
        <v>0</v>
      </c>
      <c r="U32" s="137">
        <f t="shared" si="8"/>
        <v>0</v>
      </c>
      <c r="V32" s="131"/>
      <c r="W32" s="79"/>
      <c r="X32" s="43"/>
      <c r="Y32" s="123"/>
      <c r="Z32" s="38"/>
    </row>
    <row r="33" spans="1:26" ht="18" customHeight="1" x14ac:dyDescent="0.25">
      <c r="A33" s="3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78"/>
      <c r="Q33" s="113" t="s">
        <v>25</v>
      </c>
      <c r="R33" s="43">
        <f>_xlfn.XLOOKUP(Plantilla!Q33,VENDEDORES[Ruta],VENDEDORES[Cuota UDVD])</f>
        <v>0</v>
      </c>
      <c r="S33" s="134">
        <f>_xlfn.XLOOKUP(Plantilla!Q33,VENDEDORES[Ruta],VENDEDORES[Cuota $])</f>
        <v>0</v>
      </c>
      <c r="T33" s="43">
        <f>X33+K12</f>
        <v>0</v>
      </c>
      <c r="U33" s="137">
        <f t="shared" si="8"/>
        <v>0</v>
      </c>
      <c r="V33" s="131"/>
      <c r="W33" s="79"/>
      <c r="X33" s="43"/>
      <c r="Y33" s="123"/>
      <c r="Z33" s="38"/>
    </row>
    <row r="34" spans="1:26" ht="18" customHeight="1" x14ac:dyDescent="0.25">
      <c r="A34" s="3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78"/>
      <c r="Q34" s="113" t="s">
        <v>22</v>
      </c>
      <c r="R34" s="43">
        <f>_xlfn.XLOOKUP(Plantilla!Q34,VENDEDORES[Ruta],VENDEDORES[Cuota UDVD])</f>
        <v>0</v>
      </c>
      <c r="S34" s="134">
        <f>_xlfn.XLOOKUP(Plantilla!Q34,VENDEDORES[Ruta],VENDEDORES[Cuota $])</f>
        <v>0</v>
      </c>
      <c r="T34" s="43">
        <f>X34+H12</f>
        <v>0</v>
      </c>
      <c r="U34" s="137">
        <f t="shared" si="8"/>
        <v>0</v>
      </c>
      <c r="V34" s="131"/>
      <c r="W34" s="79"/>
      <c r="X34" s="43"/>
      <c r="Y34" s="123"/>
      <c r="Z34" s="38"/>
    </row>
    <row r="35" spans="1:26" ht="18" customHeight="1" x14ac:dyDescent="0.25">
      <c r="A35" s="38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78"/>
      <c r="Q35" s="113" t="s">
        <v>23</v>
      </c>
      <c r="R35" s="43">
        <f>_xlfn.XLOOKUP(Plantilla!Q35,VENDEDORES[Ruta],VENDEDORES[Cuota UDVD])</f>
        <v>0</v>
      </c>
      <c r="S35" s="134">
        <f>_xlfn.XLOOKUP(Plantilla!Q35,VENDEDORES[Ruta],VENDEDORES[Cuota $])</f>
        <v>0</v>
      </c>
      <c r="T35" s="43">
        <f>X35+I12</f>
        <v>0</v>
      </c>
      <c r="U35" s="137">
        <f t="shared" si="8"/>
        <v>0</v>
      </c>
      <c r="V35" s="131"/>
      <c r="W35" s="79"/>
      <c r="X35" s="43"/>
      <c r="Y35" s="123"/>
      <c r="Z35" s="38"/>
    </row>
    <row r="36" spans="1:26" ht="18" customHeight="1" thickBot="1" x14ac:dyDescent="0.3">
      <c r="A36" s="3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78"/>
      <c r="Q36" s="113" t="s">
        <v>24</v>
      </c>
      <c r="R36" s="128">
        <f>_xlfn.XLOOKUP(Plantilla!Q36,VENDEDORES[Ruta],VENDEDORES[Cuota UDVD])</f>
        <v>0</v>
      </c>
      <c r="S36" s="135">
        <f>_xlfn.XLOOKUP(Plantilla!Q36,VENDEDORES[Ruta],VENDEDORES[Cuota $])</f>
        <v>0</v>
      </c>
      <c r="T36" s="43">
        <f>X36+J12</f>
        <v>0</v>
      </c>
      <c r="U36" s="137">
        <f>IFERROR(T36/R36,0)</f>
        <v>0</v>
      </c>
      <c r="V36" s="132">
        <f>SUM(V29:V35)</f>
        <v>0</v>
      </c>
      <c r="W36" s="79"/>
      <c r="X36" s="43"/>
      <c r="Y36" s="123"/>
      <c r="Z36" s="38"/>
    </row>
    <row r="37" spans="1:26" ht="21.75" customHeight="1" thickBot="1" x14ac:dyDescent="0.3">
      <c r="A37" s="3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140" t="s">
        <v>58</v>
      </c>
      <c r="Q37" s="141"/>
      <c r="R37" s="118">
        <f>SUM(R30:R36)</f>
        <v>0</v>
      </c>
      <c r="S37" s="118">
        <f t="shared" ref="S37:W37" si="9">SUM(S30:S36)</f>
        <v>0</v>
      </c>
      <c r="T37" s="118">
        <f t="shared" si="9"/>
        <v>0</v>
      </c>
      <c r="U37" s="118">
        <f t="shared" si="9"/>
        <v>0</v>
      </c>
      <c r="V37" s="118">
        <f t="shared" si="9"/>
        <v>0</v>
      </c>
      <c r="W37" s="119">
        <f t="shared" si="9"/>
        <v>0</v>
      </c>
      <c r="X37" s="43"/>
      <c r="Y37" s="123"/>
      <c r="Z37" s="38"/>
    </row>
    <row r="38" spans="1:26" ht="18" customHeight="1" x14ac:dyDescent="0.25">
      <c r="A38" s="3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78"/>
      <c r="Q38" s="43"/>
      <c r="R38" s="43"/>
      <c r="S38" s="43"/>
      <c r="T38" s="43"/>
      <c r="U38" s="43"/>
      <c r="V38" s="43"/>
      <c r="W38" s="79"/>
      <c r="X38" s="43"/>
      <c r="Y38" s="43"/>
      <c r="Z38" s="9"/>
    </row>
    <row r="39" spans="1:26" ht="18" customHeight="1" x14ac:dyDescent="0.2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78"/>
      <c r="Q39" s="121" t="s">
        <v>59</v>
      </c>
      <c r="R39" s="121" t="s">
        <v>55</v>
      </c>
      <c r="S39" s="121" t="s">
        <v>56</v>
      </c>
      <c r="T39" s="121" t="s">
        <v>39</v>
      </c>
      <c r="U39" s="121" t="s">
        <v>60</v>
      </c>
      <c r="V39" s="121" t="s">
        <v>61</v>
      </c>
      <c r="W39" s="122" t="s">
        <v>62</v>
      </c>
      <c r="X39" s="43" t="s">
        <v>63</v>
      </c>
      <c r="Y39" s="43"/>
      <c r="Z39" s="9"/>
    </row>
    <row r="40" spans="1:26" ht="18" customHeight="1" x14ac:dyDescent="0.25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78"/>
      <c r="Q40" s="113" t="s">
        <v>26</v>
      </c>
      <c r="R40" s="43">
        <f>_xlfn.XLOOKUP(Plantilla!Q40,VENDEDORES[Ruta],VENDEDORES[Cuota UDVD])</f>
        <v>0</v>
      </c>
      <c r="S40" s="138">
        <f>_xlfn.XLOOKUP(Plantilla!Q40,VENDEDORES[Ruta],VENDEDORES[Cuota $])</f>
        <v>0</v>
      </c>
      <c r="T40" s="43">
        <f>X40+L12</f>
        <v>0</v>
      </c>
      <c r="U40" s="137">
        <f>IFERROR(T40/R40,0)</f>
        <v>0</v>
      </c>
      <c r="V40" s="131"/>
      <c r="W40" s="79"/>
      <c r="X40" s="43"/>
      <c r="Y40" s="43"/>
      <c r="Z40" s="9"/>
    </row>
    <row r="41" spans="1:26" ht="18" customHeight="1" thickBot="1" x14ac:dyDescent="0.3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78"/>
      <c r="Q41" s="43"/>
      <c r="R41" s="43"/>
      <c r="S41" s="43"/>
      <c r="T41" s="43"/>
      <c r="U41" s="43"/>
      <c r="V41" s="43"/>
      <c r="W41" s="79"/>
      <c r="X41" s="43"/>
      <c r="Y41" s="43"/>
      <c r="Z41" s="9"/>
    </row>
    <row r="42" spans="1:26" ht="27" customHeight="1" thickBot="1" x14ac:dyDescent="0.3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142" t="s">
        <v>64</v>
      </c>
      <c r="Q42" s="143"/>
      <c r="R42" s="114">
        <f>SUM(R37+R40)</f>
        <v>0</v>
      </c>
      <c r="S42" s="114">
        <f t="shared" ref="S42:W42" si="10">SUM(S37+S40)</f>
        <v>0</v>
      </c>
      <c r="T42" s="114">
        <f t="shared" si="10"/>
        <v>0</v>
      </c>
      <c r="U42" s="114">
        <f t="shared" si="10"/>
        <v>0</v>
      </c>
      <c r="V42" s="114">
        <f t="shared" si="10"/>
        <v>0</v>
      </c>
      <c r="W42" s="115">
        <f t="shared" si="10"/>
        <v>0</v>
      </c>
      <c r="X42" s="9"/>
      <c r="Y42" s="43"/>
      <c r="Z42" s="9"/>
    </row>
    <row r="43" spans="1:26" ht="18" customHeigh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43"/>
      <c r="Z43" s="9"/>
    </row>
    <row r="44" spans="1:26" ht="18" customHeight="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43"/>
      <c r="Z44" s="9"/>
    </row>
    <row r="45" spans="1:26" ht="18" customHeight="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43"/>
      <c r="Z45" s="9"/>
    </row>
    <row r="46" spans="1:26" ht="18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</sheetData>
  <mergeCells count="7">
    <mergeCell ref="P37:Q37"/>
    <mergeCell ref="P42:Q42"/>
    <mergeCell ref="C11:C23"/>
    <mergeCell ref="C24:C27"/>
    <mergeCell ref="E28:G28"/>
    <mergeCell ref="E29:G29"/>
    <mergeCell ref="Q28:V28"/>
  </mergeCells>
  <conditionalFormatting sqref="D3">
    <cfRule type="cellIs" dxfId="15" priority="13" operator="equal">
      <formula>0</formula>
    </cfRule>
  </conditionalFormatting>
  <conditionalFormatting sqref="E10:M1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L12">
    <cfRule type="cellIs" dxfId="14" priority="11" operator="equal">
      <formula>0</formula>
    </cfRule>
  </conditionalFormatting>
  <conditionalFormatting sqref="E14:L15">
    <cfRule type="cellIs" dxfId="13" priority="10" operator="equal">
      <formula>0</formula>
    </cfRule>
  </conditionalFormatting>
  <conditionalFormatting sqref="E17:L18">
    <cfRule type="cellIs" dxfId="12" priority="9" operator="equal">
      <formula>0</formula>
    </cfRule>
  </conditionalFormatting>
  <conditionalFormatting sqref="E21:L22">
    <cfRule type="cellIs" dxfId="11" priority="8" operator="equal">
      <formula>0</formula>
    </cfRule>
  </conditionalFormatting>
  <conditionalFormatting sqref="G4">
    <cfRule type="cellIs" dxfId="10" priority="7" operator="equal">
      <formula>0</formula>
    </cfRule>
  </conditionalFormatting>
  <conditionalFormatting sqref="S9:S20">
    <cfRule type="cellIs" dxfId="9" priority="4" operator="equal">
      <formula>"WEEKDAY($G$4) = 3"</formula>
    </cfRule>
  </conditionalFormatting>
  <conditionalFormatting sqref="V8">
    <cfRule type="containsText" dxfId="8" priority="3" operator="containsText" text="Fecha">
      <formula>NOT(ISERROR(SEARCH("Fecha",V8)))</formula>
    </cfRule>
  </conditionalFormatting>
  <conditionalFormatting sqref="W30:W36">
    <cfRule type="cellIs" dxfId="7" priority="2" operator="equal">
      <formula>0</formula>
    </cfRule>
  </conditionalFormatting>
  <conditionalFormatting sqref="W40">
    <cfRule type="cellIs" dxfId="6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CONTROL</vt:lpstr>
      <vt:lpstr>Plantilla</vt:lpstr>
      <vt:lpstr>Plantilla!fecha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Gedeonp s</dc:creator>
  <cp:lastModifiedBy>Gedeonp s</cp:lastModifiedBy>
  <dcterms:created xsi:type="dcterms:W3CDTF">2015-06-05T18:17:20Z</dcterms:created>
  <dcterms:modified xsi:type="dcterms:W3CDTF">2026-07-04T16:42:57Z</dcterms:modified>
</cp:coreProperties>
</file>