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image/png" Extension="png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CONTROL" sheetId="1" r:id="rId5"/>
    <sheet state="visible" name="Plantilla" sheetId="2" r:id="rId6"/>
  </sheets>
  <definedNames>
    <definedName name="fecha">#REF!</definedName>
    <definedName localSheetId="1" name="fecha">Plantilla!$G$4</definedName>
  </definedNames>
  <calcPr/>
  <extLst>
    <ext uri="GoogleSheetsCustomDataVersion2">
      <go:sheetsCustomData xmlns:go="http://customooxmlschemas.google.com/" r:id="rId7" roundtripDataChecksum="J5vOzx2u5OlFy3lq0+2S7SddVSbgL985rKQrLrlaqvA="/>
    </ext>
  </extLst>
</workbook>
</file>

<file path=xl/sharedStrings.xml><?xml version="1.0" encoding="utf-8"?>
<sst xmlns="http://schemas.openxmlformats.org/spreadsheetml/2006/main" count="131" uniqueCount="94">
  <si>
    <t>Ventas hasta la fecha:</t>
  </si>
  <si>
    <t>UDVD P/facturar</t>
  </si>
  <si>
    <t>Fecha de hoy</t>
  </si>
  <si>
    <t>CUOTA SUP</t>
  </si>
  <si>
    <t>CUOTA</t>
  </si>
  <si>
    <t>AVANCE</t>
  </si>
  <si>
    <t>TRANSCURRIDO</t>
  </si>
  <si>
    <t>FAT. X VENDER</t>
  </si>
  <si>
    <t>Diferencia</t>
  </si>
  <si>
    <t>Compromiso</t>
  </si>
  <si>
    <t>Logrado</t>
  </si>
  <si>
    <t>x facturar</t>
  </si>
  <si>
    <t>Total logrado</t>
  </si>
  <si>
    <t>Dia Transcurridos</t>
  </si>
  <si>
    <t>Ruta</t>
  </si>
  <si>
    <t>Vendedor</t>
  </si>
  <si>
    <t>Sup</t>
  </si>
  <si>
    <t>Cuota UDVD</t>
  </si>
  <si>
    <t>Cuota $</t>
  </si>
  <si>
    <t>Cuota Actv</t>
  </si>
  <si>
    <t>Mes</t>
  </si>
  <si>
    <t>Dias de trabajo</t>
  </si>
  <si>
    <t>R-10</t>
  </si>
  <si>
    <t>Giovanny Valbuena</t>
  </si>
  <si>
    <t>R-15</t>
  </si>
  <si>
    <t>Rumaldo Medina</t>
  </si>
  <si>
    <t>R-17</t>
  </si>
  <si>
    <t>Alfredo Stuch</t>
  </si>
  <si>
    <t>R-21</t>
  </si>
  <si>
    <t>Jaime Mellado</t>
  </si>
  <si>
    <t>Equipo</t>
  </si>
  <si>
    <t>SDV</t>
  </si>
  <si>
    <t>Total Cajas</t>
  </si>
  <si>
    <t>UDVD</t>
  </si>
  <si>
    <t>R-26</t>
  </si>
  <si>
    <t>Laura Marin</t>
  </si>
  <si>
    <t>Cuota Semanal UDVD</t>
  </si>
  <si>
    <t>R-30</t>
  </si>
  <si>
    <t>Rebecca Romero</t>
  </si>
  <si>
    <t>R-32</t>
  </si>
  <si>
    <t>Mariedgar Martinez</t>
  </si>
  <si>
    <t>R-39</t>
  </si>
  <si>
    <t>Carla Cardozo</t>
  </si>
  <si>
    <t>Cuota Total</t>
  </si>
  <si>
    <t>Hoy</t>
  </si>
  <si>
    <t>Cuota del supervisor</t>
  </si>
  <si>
    <t>Cuota en caja semanal</t>
  </si>
  <si>
    <t>Proyeccion</t>
  </si>
  <si>
    <t>Cuota Diaria</t>
  </si>
  <si>
    <t>Objetivo Dia</t>
  </si>
  <si>
    <t>Total</t>
  </si>
  <si>
    <t>Cuota</t>
  </si>
  <si>
    <t>Cuota de vendedores</t>
  </si>
  <si>
    <t>Objetivo de cobranza</t>
  </si>
  <si>
    <t xml:space="preserve">Cobrado Viernes </t>
  </si>
  <si>
    <t xml:space="preserve">Cobrado Lunes </t>
  </si>
  <si>
    <t xml:space="preserve">Cobrado Martes </t>
  </si>
  <si>
    <t>Cobrado Miercoles</t>
  </si>
  <si>
    <t>Cobrado Jueves</t>
  </si>
  <si>
    <t>Total CxC [Fecha]</t>
  </si>
  <si>
    <t>% De Cumplimiento</t>
  </si>
  <si>
    <t>DESCRIPCION</t>
  </si>
  <si>
    <t>TOTALES</t>
  </si>
  <si>
    <t>ALCANCE</t>
  </si>
  <si>
    <t>OBJETIVOS DIA ANTERIOR</t>
  </si>
  <si>
    <t>OBJETIVO VENTA</t>
  </si>
  <si>
    <t>LOGRADO VENTA</t>
  </si>
  <si>
    <t>% LOGRADO</t>
  </si>
  <si>
    <t>OBJETIVO ACT</t>
  </si>
  <si>
    <t>LOGRADO ACT</t>
  </si>
  <si>
    <t>OBJETIVO CxC</t>
  </si>
  <si>
    <t>LOGRADO CXC</t>
  </si>
  <si>
    <t>OBJETIVO GRUPO AMIGO</t>
  </si>
  <si>
    <t>LOGRADO GRUPO AMIGO</t>
  </si>
  <si>
    <t>SUB TOTAL</t>
  </si>
  <si>
    <t>MES -AÑOS</t>
  </si>
  <si>
    <t>Resumen Cuotas y Observaciones para Seguimiento</t>
  </si>
  <si>
    <t>Rutas</t>
  </si>
  <si>
    <t>% Avances</t>
  </si>
  <si>
    <t>Cuota Cobranza</t>
  </si>
  <si>
    <t>Peso Ruta</t>
  </si>
  <si>
    <t>INCIDENCIAS</t>
  </si>
  <si>
    <t>Objetivo Semanal CxC</t>
  </si>
  <si>
    <t>OBJETIVOS</t>
  </si>
  <si>
    <t>VISITAS</t>
  </si>
  <si>
    <t>OBJETIVO CxC Semanal</t>
  </si>
  <si>
    <t>Total de cajas a Buscar HOY:</t>
  </si>
  <si>
    <t>Total de cobranza para Hoy:</t>
  </si>
  <si>
    <t>Total Cuota Supervisor</t>
  </si>
  <si>
    <t>UDVD DIARIA</t>
  </si>
  <si>
    <t>TOTAL MES</t>
  </si>
  <si>
    <t>IDEAL</t>
  </si>
  <si>
    <t>REAL</t>
  </si>
  <si>
    <t>Total Cuota Empresa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</si>
</sst>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/M/YYYY"/>
    <numFmt numFmtId="165" formatCode="_ * #,##0_ ;_ * \-#,##0_ ;_ * &quot;-&quot;??_ ;_ @_ "/>
    <numFmt numFmtId="166" formatCode="0.0"/>
    <numFmt numFmtId="167" formatCode="_ * #,##0.00_ ;_ * \-#,##0.00_ ;_ * &quot;-&quot;??_ ;_ @_ "/>
    <numFmt numFmtId="168" formatCode="&quot;$&quot;#,##0.00"/>
    <numFmt numFmtId="169" formatCode="[$$-409]#,##0.00"/>
    <numFmt numFmtId="170" formatCode="[$$-540A]#,##0.00"/>
    <numFmt numFmtId="171" formatCode="_(&quot;$&quot;* #,##0.00_);_(&quot;$&quot;* \(#,##0.00\);_(&quot;$&quot;* &quot;-&quot;??_);_(@_)"/>
    <numFmt numFmtId="172" formatCode="_(* #,##0.00_);_(* \(#,##0.00\);_(* &quot;-&quot;??_);_(@_)"/>
  </numFmts>
  <fonts count="21">
    <font>
      <sz val="11.0"/>
      <color theme="1"/>
      <name val="Calibri"/>
      <scheme val="minor"/>
    </font>
    <font>
      <sz val="11.0"/>
      <color rgb="FFFDF0E9"/>
      <name val="Calibri"/>
    </font>
    <font>
      <sz val="11.0"/>
      <color theme="1"/>
      <name val="Calibri"/>
    </font>
    <font>
      <b/>
      <i/>
      <sz val="12.0"/>
      <color theme="1"/>
      <name val="Calibri"/>
    </font>
    <font>
      <b/>
      <sz val="11.0"/>
      <color theme="1"/>
      <name val="Calibri"/>
    </font>
    <font>
      <sz val="11.0"/>
      <color theme="1"/>
      <name val="Aharoni"/>
    </font>
    <font>
      <b/>
      <u/>
      <sz val="12.0"/>
      <color rgb="FF262626"/>
      <name val="Calibri"/>
    </font>
    <font>
      <b/>
      <sz val="14.0"/>
      <color theme="1"/>
      <name val="Calibri"/>
    </font>
    <font>
      <b/>
      <sz val="12.0"/>
      <color rgb="FF3F3F3F"/>
      <name val="Calibri"/>
    </font>
    <font>
      <b/>
      <sz val="14.0"/>
      <color rgb="FFF2F2F2"/>
      <name val="Calibri"/>
    </font>
    <font>
      <b/>
      <sz val="14.0"/>
      <color theme="0"/>
      <name val="Calibri"/>
    </font>
    <font>
      <b/>
      <sz val="16.0"/>
      <color rgb="FF3A3838"/>
      <name val="Calibri"/>
    </font>
    <font>
      <i/>
      <sz val="14.0"/>
      <color rgb="FF3F3F3F"/>
      <name val="Calibri"/>
    </font>
    <font>
      <sz val="14.0"/>
      <color theme="1"/>
      <name val="Calibri"/>
    </font>
    <font>
      <b/>
      <sz val="12.0"/>
      <color theme="1"/>
      <name val="Calibri"/>
    </font>
    <font>
      <sz val="12.0"/>
      <color theme="1"/>
      <name val="Calibri"/>
    </font>
    <font>
      <b/>
      <sz val="12.0"/>
      <color rgb="FF3A3838"/>
      <name val="Calibri"/>
    </font>
    <font/>
    <font>
      <b/>
      <sz val="16.0"/>
      <color theme="1"/>
      <name val="Calibri"/>
    </font>
    <font>
      <i/>
      <sz val="11.0"/>
      <color theme="1"/>
      <name val="Calibri"/>
    </font>
    <font>
      <sz val="10.0"/>
      <color theme="1"/>
      <name val="Calibri"/>
    </font>
  </fonts>
  <fills count="23">
    <fill>
      <patternFill patternType="none"/>
    </fill>
    <fill>
      <patternFill patternType="lightGray"/>
    </fill>
    <fill>
      <patternFill patternType="solid">
        <fgColor rgb="FFFDF0E9"/>
        <bgColor rgb="FFFDF0E9"/>
      </patternFill>
    </fill>
    <fill>
      <patternFill patternType="solid">
        <fgColor theme="0"/>
        <bgColor theme="0"/>
      </patternFill>
    </fill>
    <fill>
      <patternFill patternType="solid">
        <fgColor rgb="FFF2F2F2"/>
        <bgColor rgb="FFF2F2F2"/>
      </patternFill>
    </fill>
    <fill>
      <patternFill patternType="solid">
        <fgColor rgb="FFE2EFD9"/>
        <bgColor rgb="FFE2EFD9"/>
      </patternFill>
    </fill>
    <fill>
      <patternFill patternType="solid">
        <fgColor rgb="FF2F3047"/>
        <bgColor rgb="FF2F3047"/>
      </patternFill>
    </fill>
    <fill>
      <patternFill patternType="solid">
        <fgColor rgb="FFFFF2CB"/>
        <bgColor rgb="FFFFF2CB"/>
      </patternFill>
    </fill>
    <fill>
      <patternFill patternType="solid">
        <fgColor rgb="FFE7E6E6"/>
        <bgColor rgb="FFE7E6E6"/>
      </patternFill>
    </fill>
    <fill>
      <patternFill patternType="solid">
        <fgColor rgb="FF2E75B5"/>
        <bgColor rgb="FF2E75B5"/>
      </patternFill>
    </fill>
    <fill>
      <patternFill patternType="solid">
        <fgColor rgb="FFC5E0B3"/>
        <bgColor rgb="FFC5E0B3"/>
      </patternFill>
    </fill>
    <fill>
      <patternFill patternType="solid">
        <fgColor rgb="FFFBE4D5"/>
        <bgColor rgb="FFFBE4D5"/>
      </patternFill>
    </fill>
    <fill>
      <patternFill patternType="solid">
        <fgColor rgb="FFFFE598"/>
        <bgColor rgb="FFFFE598"/>
      </patternFill>
    </fill>
    <fill>
      <patternFill patternType="solid">
        <fgColor rgb="FFB4C6E7"/>
        <bgColor rgb="FFB4C6E7"/>
      </patternFill>
    </fill>
    <fill>
      <patternFill patternType="solid">
        <fgColor rgb="FFFFFF00"/>
        <bgColor rgb="FFFFFF00"/>
      </patternFill>
    </fill>
    <fill>
      <patternFill patternType="solid">
        <fgColor rgb="FFBDD6EE"/>
        <bgColor rgb="FFBDD6EE"/>
      </patternFill>
    </fill>
    <fill>
      <patternFill patternType="solid">
        <fgColor rgb="FFFBFBFB"/>
        <bgColor rgb="FFFBFBFB"/>
      </patternFill>
    </fill>
    <fill>
      <patternFill patternType="solid">
        <fgColor rgb="FFF7CAAC"/>
        <bgColor rgb="FFF7CAAC"/>
      </patternFill>
    </fill>
    <fill>
      <patternFill patternType="solid">
        <fgColor rgb="FF9CC2E5"/>
        <bgColor rgb="FF9CC2E5"/>
      </patternFill>
    </fill>
    <fill>
      <patternFill patternType="solid">
        <fgColor rgb="FFAEABAB"/>
        <bgColor rgb="FFAEABAB"/>
      </patternFill>
    </fill>
    <fill>
      <patternFill patternType="solid">
        <fgColor rgb="FFA8D08D"/>
        <bgColor rgb="FFA8D08D"/>
      </patternFill>
    </fill>
    <fill>
      <patternFill patternType="solid">
        <fgColor rgb="FFFFD965"/>
        <bgColor rgb="FFFFD965"/>
      </patternFill>
    </fill>
    <fill>
      <patternFill patternType="solid">
        <fgColor rgb="FFD6DCE4"/>
        <bgColor rgb="FFD6DCE4"/>
      </patternFill>
    </fill>
  </fills>
  <borders count="96">
    <border/>
    <border>
      <left/>
      <right/>
      <top/>
      <bottom/>
    </border>
    <border>
      <left/>
      <right/>
      <top/>
      <bottom style="double">
        <color rgb="FF000000"/>
      </bottom>
    </border>
    <border>
      <left style="thin">
        <color rgb="FF595959"/>
      </left>
      <right style="thin">
        <color rgb="FF595959"/>
      </right>
      <top/>
      <bottom style="double">
        <color rgb="FF595959"/>
      </bottom>
    </border>
    <border>
      <left/>
      <right style="thin">
        <color rgb="FF000000"/>
      </right>
      <top/>
      <bottom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/>
      <top style="medium">
        <color rgb="FF000000"/>
      </top>
      <bottom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 style="medium">
        <color rgb="FF000000"/>
      </top>
      <bottom/>
    </border>
    <border>
      <left style="medium">
        <color rgb="FF000000"/>
      </left>
      <right/>
      <top style="medium">
        <color rgb="FF000000"/>
      </top>
      <bottom style="medium">
        <color rgb="FF000000"/>
      </bottom>
    </border>
    <border>
      <left/>
      <right/>
      <top style="medium">
        <color rgb="FF000000"/>
      </top>
      <bottom style="medium">
        <color rgb="FF000000"/>
      </bottom>
    </border>
    <border>
      <left/>
      <right style="medium">
        <color rgb="FF000000"/>
      </right>
      <top style="medium">
        <color rgb="FF000000"/>
      </top>
      <bottom/>
    </border>
    <border>
      <left/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/>
      <top/>
      <bottom/>
    </border>
    <border>
      <left/>
      <right style="medium">
        <color rgb="FF000000"/>
      </right>
      <top/>
      <bottom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medium">
        <color rgb="FF000000"/>
      </right>
      <top style="thin">
        <color rgb="FF000000"/>
      </top>
    </border>
    <border>
      <left style="medium">
        <color rgb="FF000000"/>
      </left>
      <right/>
      <top/>
      <bottom style="medium">
        <color rgb="FF000000"/>
      </bottom>
    </border>
    <border>
      <left/>
      <right/>
      <top/>
      <bottom style="medium">
        <color rgb="FF000000"/>
      </bottom>
    </border>
    <border>
      <left/>
      <right style="medium">
        <color rgb="FF000000"/>
      </right>
      <top/>
      <bottom style="medium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  <border>
      <left/>
      <right style="thin">
        <color rgb="FF595959"/>
      </right>
      <top/>
      <bottom/>
    </border>
    <border>
      <left style="medium">
        <color rgb="FF595959"/>
      </left>
      <top style="medium">
        <color rgb="FF595959"/>
      </top>
      <bottom style="medium">
        <color rgb="FF000000"/>
      </bottom>
    </border>
    <border>
      <left/>
      <right/>
      <top style="medium">
        <color rgb="FF595959"/>
      </top>
      <bottom style="medium">
        <color rgb="FF000000"/>
      </bottom>
    </border>
    <border>
      <left/>
      <right style="medium">
        <color rgb="FF595959"/>
      </right>
      <top style="medium">
        <color rgb="FF595959"/>
      </top>
      <bottom style="medium">
        <color rgb="FF000000"/>
      </bottom>
    </border>
    <border>
      <left style="medium">
        <color rgb="FF595959"/>
      </left>
      <right/>
      <top style="medium">
        <color rgb="FF595959"/>
      </top>
      <bottom/>
    </border>
    <border>
      <left/>
      <right/>
      <top style="medium">
        <color rgb="FF595959"/>
      </top>
      <bottom/>
    </border>
    <border>
      <left/>
      <right/>
      <top style="medium">
        <color rgb="FF595959"/>
      </top>
      <bottom style="medium">
        <color rgb="FF595959"/>
      </bottom>
    </border>
    <border>
      <left/>
      <right style="medium">
        <color rgb="FF595959"/>
      </right>
      <top style="medium">
        <color rgb="FF595959"/>
      </top>
      <bottom style="thin">
        <color rgb="FF000000"/>
      </bottom>
    </border>
    <border>
      <left style="medium">
        <color rgb="FF595959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medium">
        <color rgb="FF595959"/>
      </right>
      <top/>
      <bottom style="thin">
        <color rgb="FF000000"/>
      </bottom>
    </border>
    <border>
      <left style="medium">
        <color rgb="FF595959"/>
      </left>
      <right style="thin">
        <color rgb="FF595959"/>
      </right>
      <top style="medium">
        <color rgb="FF595959"/>
      </top>
      <bottom style="thin">
        <color rgb="FFF2F2F2"/>
      </bottom>
    </border>
    <border>
      <left/>
      <right style="thin">
        <color rgb="FFF2F2F2"/>
      </right>
      <top style="medium">
        <color rgb="FF595959"/>
      </top>
      <bottom style="thin">
        <color rgb="FFF2F2F2"/>
      </bottom>
    </border>
    <border>
      <left style="thin">
        <color rgb="FFF2F2F2"/>
      </left>
      <right style="thin">
        <color rgb="FFF2F2F2"/>
      </right>
      <top style="medium">
        <color rgb="FF595959"/>
      </top>
      <bottom style="thin">
        <color rgb="FFF2F2F2"/>
      </bottom>
    </border>
    <border>
      <left style="thin">
        <color rgb="FFF2F2F2"/>
      </left>
      <right style="thin">
        <color rgb="FFF2F2F2"/>
      </right>
      <top/>
      <bottom style="thin">
        <color rgb="FFF2F2F2"/>
      </bottom>
    </border>
    <border>
      <left style="thin">
        <color rgb="FFF2F2F2"/>
      </left>
      <right style="medium">
        <color rgb="FF595959"/>
      </right>
      <top/>
      <bottom style="thin">
        <color rgb="FFF2F2F2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medium">
        <color rgb="FF595959"/>
      </left>
      <right style="thin">
        <color rgb="FF595959"/>
      </right>
      <top style="thin">
        <color rgb="FFF2F2F2"/>
      </top>
      <bottom style="thin">
        <color rgb="FFF2F2F2"/>
      </bottom>
    </border>
    <border>
      <left/>
      <right style="thin">
        <color rgb="FFF2F2F2"/>
      </right>
      <top style="thin">
        <color rgb="FFF2F2F2"/>
      </top>
      <bottom style="thin">
        <color rgb="FFF2F2F2"/>
      </bottom>
    </border>
    <border>
      <left style="thin">
        <color rgb="FFF2F2F2"/>
      </left>
      <right style="thin">
        <color rgb="FFF2F2F2"/>
      </right>
      <top style="thin">
        <color rgb="FFF2F2F2"/>
      </top>
      <bottom style="thin">
        <color rgb="FFF2F2F2"/>
      </bottom>
    </border>
    <border>
      <left style="medium">
        <color rgb="FF000000"/>
      </left>
      <right/>
      <top style="medium">
        <color rgb="FF000000"/>
      </top>
    </border>
    <border>
      <left style="thin">
        <color rgb="FF000000"/>
      </left>
      <right style="medium">
        <color rgb="FF595959"/>
      </right>
      <top style="medium">
        <color rgb="FF000000"/>
      </top>
      <bottom style="thin">
        <color rgb="FF000000"/>
      </bottom>
    </border>
    <border>
      <left style="medium">
        <color rgb="FF000000"/>
      </left>
      <right/>
    </border>
    <border>
      <left style="medium">
        <color rgb="FF595959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595959"/>
      </right>
      <top style="thin">
        <color rgb="FF000000"/>
      </top>
      <bottom style="thin">
        <color rgb="FF000000"/>
      </bottom>
    </border>
    <border>
      <left style="medium">
        <color rgb="FF000000"/>
      </left>
      <right/>
      <top style="thin">
        <color rgb="FF000000"/>
      </top>
      <bottom/>
    </border>
    <border>
      <left style="medium">
        <color rgb="FF595959"/>
      </left>
      <right style="thin">
        <color rgb="FF595959"/>
      </right>
      <top style="thin">
        <color rgb="FFF2F2F2"/>
      </top>
      <bottom style="thin">
        <color rgb="FF595959"/>
      </bottom>
    </border>
    <border>
      <left/>
      <right style="thin">
        <color rgb="FFF2F2F2"/>
      </right>
      <top style="thin">
        <color rgb="FFF2F2F2"/>
      </top>
      <bottom/>
    </border>
    <border>
      <left style="thin">
        <color rgb="FFF2F2F2"/>
      </left>
      <right style="thin">
        <color rgb="FFF2F2F2"/>
      </right>
      <top style="thin">
        <color rgb="FFF2F2F2"/>
      </top>
      <bottom/>
    </border>
    <border>
      <left style="medium">
        <color rgb="FF595959"/>
      </left>
      <right style="thin">
        <color rgb="FF595959"/>
      </right>
      <top style="thin">
        <color rgb="FF595959"/>
      </top>
      <bottom style="medium">
        <color rgb="FF595959"/>
      </bottom>
    </border>
    <border>
      <left style="thin">
        <color rgb="FF595959"/>
      </left>
      <right style="thin">
        <color rgb="FF595959"/>
      </right>
      <top style="thin">
        <color rgb="FF595959"/>
      </top>
      <bottom style="medium">
        <color rgb="FF595959"/>
      </bottom>
    </border>
    <border>
      <left style="thin">
        <color rgb="FF595959"/>
      </left>
      <right style="medium">
        <color rgb="FF595959"/>
      </right>
      <top style="thin">
        <color rgb="FF595959"/>
      </top>
      <bottom style="medium">
        <color rgb="FF595959"/>
      </bottom>
    </border>
    <border>
      <left style="medium">
        <color rgb="FF000000"/>
      </left>
      <top style="medium">
        <color rgb="FF000000"/>
      </top>
      <bottom style="medium">
        <color rgb="FF000000"/>
      </bottom>
    </border>
    <border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595959"/>
      </left>
      <right/>
      <top/>
      <bottom style="medium">
        <color rgb="FF595959"/>
      </bottom>
    </border>
    <border>
      <left/>
      <right/>
      <top/>
      <bottom style="medium">
        <color rgb="FF595959"/>
      </bottom>
    </border>
    <border>
      <left/>
      <right style="medium">
        <color rgb="FF595959"/>
      </right>
      <top style="medium">
        <color rgb="FF595959"/>
      </top>
      <bottom style="medium">
        <color rgb="FF595959"/>
      </bottom>
    </border>
    <border>
      <left style="medium">
        <color rgb="FF595959"/>
      </left>
      <right/>
      <top/>
      <bottom/>
    </border>
    <border>
      <left/>
      <right style="medium">
        <color rgb="FF595959"/>
      </right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medium">
        <color rgb="FF595959"/>
      </right>
      <top style="thin">
        <color rgb="FF000000"/>
      </top>
    </border>
    <border>
      <left style="medium">
        <color rgb="FF595959"/>
      </left>
      <right/>
      <top style="thin">
        <color rgb="FF595959"/>
      </top>
      <bottom/>
    </border>
    <border>
      <left/>
      <right/>
      <top style="thin">
        <color rgb="FF595959"/>
      </top>
      <bottom/>
    </border>
    <border>
      <left/>
      <right/>
      <top style="thin">
        <color rgb="FF000000"/>
      </top>
      <bottom/>
    </border>
    <border>
      <left/>
      <right style="medium">
        <color rgb="FF595959"/>
      </right>
      <top style="thin">
        <color rgb="FF595959"/>
      </top>
      <bottom/>
    </border>
    <border>
      <left style="medium">
        <color rgb="FF000000"/>
      </left>
      <right/>
      <bottom/>
    </border>
    <border>
      <left style="medium">
        <color rgb="FF000000"/>
      </left>
      <right/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595959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thin">
        <color rgb="FF000000"/>
      </right>
      <top/>
      <bottom/>
    </border>
    <border>
      <left style="medium">
        <color rgb="FF595959"/>
      </left>
      <right/>
      <top style="medium">
        <color rgb="FF595959"/>
      </top>
    </border>
    <border>
      <left style="medium">
        <color rgb="FF595959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medium">
        <color rgb="FF595959"/>
      </left>
      <right/>
    </border>
    <border>
      <left style="medium">
        <color rgb="FF595959"/>
      </left>
      <right/>
      <bottom style="medium">
        <color rgb="FF595959"/>
      </bottom>
    </border>
    <border>
      <left style="medium">
        <color rgb="FF000000"/>
      </left>
      <right/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595959"/>
      </right>
      <top style="thin">
        <color rgb="FF000000"/>
      </top>
      <bottom style="medium">
        <color rgb="FF595959"/>
      </bottom>
    </border>
    <border>
      <left style="thin">
        <color rgb="FF595959"/>
      </left>
      <top/>
      <bottom/>
    </border>
    <border>
      <top/>
      <bottom/>
    </border>
    <border>
      <right style="thin">
        <color rgb="FF000000"/>
      </right>
      <top/>
      <bottom/>
    </border>
    <border>
      <left style="thin">
        <color rgb="FF000000"/>
      </left>
      <right style="medium">
        <color rgb="FF000000"/>
      </right>
      <bottom style="thin">
        <color rgb="FF000000"/>
      </bottom>
    </border>
    <border>
      <left/>
      <right/>
      <top/>
      <bottom style="thin">
        <color rgb="FF000000"/>
      </bottom>
    </border>
    <border>
      <left style="thin">
        <color rgb="FF595959"/>
      </left>
      <top/>
      <bottom style="double">
        <color rgb="FF595959"/>
      </bottom>
    </border>
    <border>
      <top/>
      <bottom style="double">
        <color rgb="FF595959"/>
      </bottom>
    </border>
    <border>
      <right style="thin">
        <color rgb="FF000000"/>
      </right>
      <top/>
      <bottom style="double">
        <color rgb="FF595959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double">
        <color rgb="FF595959"/>
      </bottom>
    </border>
    <border>
      <left style="medium">
        <color rgb="FF595959"/>
      </left>
      <top style="medium">
        <color rgb="FF595959"/>
      </top>
      <bottom style="medium">
        <color rgb="FF595959"/>
      </bottom>
    </border>
    <border>
      <right/>
      <top style="medium">
        <color rgb="FF595959"/>
      </top>
      <bottom style="medium">
        <color rgb="FF595959"/>
      </bottom>
    </border>
  </borders>
  <cellStyleXfs count="1">
    <xf borderId="0" fillId="0" fontId="0" numFmtId="0" applyAlignment="1" applyFont="1"/>
  </cellStyleXfs>
  <cellXfs count="189">
    <xf borderId="0" fillId="0" fontId="0" numFmtId="0" xfId="0" applyAlignment="1" applyFont="1">
      <alignment readingOrder="0" shrinkToFit="0" vertical="bottom" wrapText="0"/>
    </xf>
    <xf borderId="1" fillId="2" fontId="1" numFmtId="0" xfId="0" applyBorder="1" applyFill="1" applyFont="1"/>
    <xf borderId="1" fillId="3" fontId="2" numFmtId="0" xfId="0" applyBorder="1" applyFill="1" applyFont="1"/>
    <xf borderId="1" fillId="2" fontId="2" numFmtId="0" xfId="0" applyBorder="1" applyFont="1"/>
    <xf borderId="1" fillId="4" fontId="2" numFmtId="0" xfId="0" applyBorder="1" applyFill="1" applyFont="1"/>
    <xf borderId="1" fillId="5" fontId="2" numFmtId="0" xfId="0" applyBorder="1" applyFill="1" applyFont="1"/>
    <xf borderId="1" fillId="6" fontId="2" numFmtId="0" xfId="0" applyBorder="1" applyFill="1" applyFont="1"/>
    <xf borderId="1" fillId="5" fontId="3" numFmtId="0" xfId="0" applyAlignment="1" applyBorder="1" applyFont="1">
      <alignment shrinkToFit="0" vertical="center" wrapText="1"/>
    </xf>
    <xf borderId="1" fillId="5" fontId="4" numFmtId="2" xfId="0" applyAlignment="1" applyBorder="1" applyFont="1" applyNumberFormat="1">
      <alignment horizontal="center" vertical="center"/>
    </xf>
    <xf borderId="2" fillId="5" fontId="4" numFmtId="10" xfId="0" applyAlignment="1" applyBorder="1" applyFont="1" applyNumberFormat="1">
      <alignment horizontal="right" shrinkToFit="0" vertical="center" wrapText="1"/>
    </xf>
    <xf borderId="2" fillId="5" fontId="4" numFmtId="10" xfId="0" applyAlignment="1" applyBorder="1" applyFont="1" applyNumberFormat="1">
      <alignment horizontal="center" shrinkToFit="0" vertical="center" wrapText="1"/>
    </xf>
    <xf borderId="1" fillId="6" fontId="5" numFmtId="0" xfId="0" applyBorder="1" applyFont="1"/>
    <xf borderId="1" fillId="5" fontId="6" numFmtId="0" xfId="0" applyAlignment="1" applyBorder="1" applyFont="1">
      <alignment horizontal="center" vertical="center"/>
    </xf>
    <xf borderId="2" fillId="5" fontId="3" numFmtId="0" xfId="0" applyAlignment="1" applyBorder="1" applyFont="1">
      <alignment horizontal="center" vertical="center"/>
    </xf>
    <xf borderId="2" fillId="5" fontId="4" numFmtId="0" xfId="0" applyAlignment="1" applyBorder="1" applyFont="1">
      <alignment horizontal="center" vertical="center"/>
    </xf>
    <xf borderId="2" fillId="5" fontId="4" numFmtId="0" xfId="0" applyAlignment="1" applyBorder="1" applyFont="1">
      <alignment horizontal="center" shrinkToFit="0" vertical="center" wrapText="1"/>
    </xf>
    <xf borderId="2" fillId="5" fontId="4" numFmtId="10" xfId="0" applyAlignment="1" applyBorder="1" applyFont="1" applyNumberFormat="1">
      <alignment horizontal="center" vertical="center"/>
    </xf>
    <xf borderId="1" fillId="7" fontId="7" numFmtId="1" xfId="0" applyAlignment="1" applyBorder="1" applyFill="1" applyFont="1" applyNumberFormat="1">
      <alignment horizontal="center" vertical="center"/>
    </xf>
    <xf borderId="3" fillId="5" fontId="8" numFmtId="164" xfId="0" applyAlignment="1" applyBorder="1" applyFont="1" applyNumberFormat="1">
      <alignment horizontal="center" vertical="center"/>
    </xf>
    <xf borderId="1" fillId="3" fontId="4" numFmtId="165" xfId="0" applyAlignment="1" applyBorder="1" applyFont="1" applyNumberFormat="1">
      <alignment vertical="center"/>
    </xf>
    <xf borderId="1" fillId="3" fontId="4" numFmtId="165" xfId="0" applyAlignment="1" applyBorder="1" applyFont="1" applyNumberFormat="1">
      <alignment horizontal="center" vertical="center"/>
    </xf>
    <xf borderId="1" fillId="8" fontId="2" numFmtId="0" xfId="0" applyBorder="1" applyFill="1" applyFont="1"/>
    <xf borderId="1" fillId="3" fontId="4" numFmtId="9" xfId="0" applyAlignment="1" applyBorder="1" applyFont="1" applyNumberFormat="1">
      <alignment horizontal="center" vertical="center"/>
    </xf>
    <xf borderId="1" fillId="9" fontId="9" numFmtId="0" xfId="0" applyAlignment="1" applyBorder="1" applyFill="1" applyFont="1">
      <alignment horizontal="center" vertical="center"/>
    </xf>
    <xf borderId="1" fillId="9" fontId="10" numFmtId="0" xfId="0" applyAlignment="1" applyBorder="1" applyFont="1">
      <alignment horizontal="center" vertical="center"/>
    </xf>
    <xf borderId="1" fillId="9" fontId="10" numFmtId="0" xfId="0" applyBorder="1" applyFont="1"/>
    <xf borderId="1" fillId="3" fontId="11" numFmtId="0" xfId="0" applyAlignment="1" applyBorder="1" applyFont="1">
      <alignment horizontal="center" vertical="center"/>
    </xf>
    <xf borderId="1" fillId="3" fontId="12" numFmtId="0" xfId="0" applyBorder="1" applyFont="1"/>
    <xf borderId="1" fillId="3" fontId="13" numFmtId="0" xfId="0" applyAlignment="1" applyBorder="1" applyFont="1">
      <alignment horizontal="center" vertical="center"/>
    </xf>
    <xf borderId="0" fillId="0" fontId="2" numFmtId="3" xfId="0" applyFont="1" applyNumberFormat="1"/>
    <xf borderId="0" fillId="0" fontId="2" numFmtId="165" xfId="0" applyFont="1" applyNumberFormat="1"/>
    <xf borderId="0" fillId="0" fontId="13" numFmtId="0" xfId="0" applyFont="1"/>
    <xf borderId="4" fillId="3" fontId="2" numFmtId="0" xfId="0" applyBorder="1" applyFont="1"/>
    <xf borderId="0" fillId="0" fontId="11" numFmtId="0" xfId="0" applyAlignment="1" applyFont="1">
      <alignment horizontal="center" vertical="center"/>
    </xf>
    <xf borderId="0" fillId="0" fontId="12" numFmtId="0" xfId="0" applyFont="1"/>
    <xf borderId="0" fillId="0" fontId="13" numFmtId="0" xfId="0" applyAlignment="1" applyFont="1">
      <alignment horizontal="center" vertical="center"/>
    </xf>
    <xf borderId="1" fillId="3" fontId="8" numFmtId="164" xfId="0" applyAlignment="1" applyBorder="1" applyFont="1" applyNumberFormat="1">
      <alignment horizontal="center" vertical="center"/>
    </xf>
    <xf borderId="1" fillId="4" fontId="2" numFmtId="3" xfId="0" applyBorder="1" applyFont="1" applyNumberFormat="1"/>
    <xf borderId="5" fillId="10" fontId="2" numFmtId="0" xfId="0" applyAlignment="1" applyBorder="1" applyFill="1" applyFont="1">
      <alignment horizontal="center"/>
    </xf>
    <xf borderId="6" fillId="11" fontId="14" numFmtId="0" xfId="0" applyAlignment="1" applyBorder="1" applyFill="1" applyFont="1">
      <alignment horizontal="center" shrinkToFit="0" vertical="center" wrapText="1"/>
    </xf>
    <xf borderId="7" fillId="12" fontId="2" numFmtId="3" xfId="0" applyAlignment="1" applyBorder="1" applyFill="1" applyFont="1" applyNumberFormat="1">
      <alignment horizontal="center"/>
    </xf>
    <xf borderId="8" fillId="3" fontId="15" numFmtId="166" xfId="0" applyAlignment="1" applyBorder="1" applyFont="1" applyNumberFormat="1">
      <alignment horizontal="center" vertical="center"/>
    </xf>
    <xf borderId="1" fillId="4" fontId="15" numFmtId="0" xfId="0" applyBorder="1" applyFont="1"/>
    <xf borderId="9" fillId="3" fontId="16" numFmtId="0" xfId="0" applyAlignment="1" applyBorder="1" applyFont="1">
      <alignment horizontal="left" vertical="center"/>
    </xf>
    <xf borderId="10" fillId="3" fontId="16" numFmtId="0" xfId="0" applyAlignment="1" applyBorder="1" applyFont="1">
      <alignment horizontal="left" vertical="top"/>
    </xf>
    <xf borderId="11" fillId="5" fontId="15" numFmtId="166" xfId="0" applyAlignment="1" applyBorder="1" applyFont="1" applyNumberFormat="1">
      <alignment horizontal="center" vertical="center"/>
    </xf>
    <xf borderId="12" fillId="5" fontId="11" numFmtId="3" xfId="0" applyAlignment="1" applyBorder="1" applyFont="1" applyNumberFormat="1">
      <alignment horizontal="center" vertical="center"/>
    </xf>
    <xf borderId="1" fillId="3" fontId="4" numFmtId="0" xfId="0" applyAlignment="1" applyBorder="1" applyFont="1">
      <alignment horizontal="center" vertical="center"/>
    </xf>
    <xf borderId="13" fillId="0" fontId="2" numFmtId="0" xfId="0" applyBorder="1" applyFont="1"/>
    <xf borderId="14" fillId="0" fontId="2" numFmtId="0" xfId="0" applyBorder="1" applyFont="1"/>
    <xf borderId="15" fillId="0" fontId="2" numFmtId="1" xfId="0" applyBorder="1" applyFont="1" applyNumberFormat="1"/>
    <xf borderId="16" fillId="11" fontId="14" numFmtId="0" xfId="0" applyAlignment="1" applyBorder="1" applyFont="1">
      <alignment horizontal="center" shrinkToFit="0" vertical="center" wrapText="1"/>
    </xf>
    <xf borderId="1" fillId="3" fontId="15" numFmtId="166" xfId="0" applyAlignment="1" applyBorder="1" applyFont="1" applyNumberFormat="1">
      <alignment horizontal="center" vertical="center"/>
    </xf>
    <xf borderId="17" fillId="5" fontId="15" numFmtId="166" xfId="0" applyAlignment="1" applyBorder="1" applyFont="1" applyNumberFormat="1">
      <alignment horizontal="center" vertical="center"/>
    </xf>
    <xf borderId="18" fillId="0" fontId="2" numFmtId="1" xfId="0" applyBorder="1" applyFont="1" applyNumberFormat="1"/>
    <xf borderId="19" fillId="0" fontId="2" numFmtId="0" xfId="0" applyBorder="1" applyFont="1"/>
    <xf borderId="20" fillId="0" fontId="2" numFmtId="1" xfId="0" applyBorder="1" applyFont="1" applyNumberFormat="1"/>
    <xf borderId="21" fillId="0" fontId="2" numFmtId="1" xfId="0" applyBorder="1" applyFont="1" applyNumberFormat="1"/>
    <xf borderId="5" fillId="13" fontId="4" numFmtId="0" xfId="0" applyAlignment="1" applyBorder="1" applyFill="1" applyFont="1">
      <alignment horizontal="center" vertical="center"/>
    </xf>
    <xf borderId="22" fillId="11" fontId="14" numFmtId="0" xfId="0" applyAlignment="1" applyBorder="1" applyFont="1">
      <alignment horizontal="center" shrinkToFit="0" vertical="center" wrapText="1"/>
    </xf>
    <xf borderId="23" fillId="3" fontId="2" numFmtId="166" xfId="0" applyAlignment="1" applyBorder="1" applyFont="1" applyNumberFormat="1">
      <alignment horizontal="center" vertical="center"/>
    </xf>
    <xf borderId="24" fillId="5" fontId="15" numFmtId="166" xfId="0" applyAlignment="1" applyBorder="1" applyFont="1" applyNumberFormat="1">
      <alignment horizontal="center" vertical="center"/>
    </xf>
    <xf borderId="18" fillId="14" fontId="4" numFmtId="165" xfId="0" applyBorder="1" applyFill="1" applyFont="1" applyNumberFormat="1"/>
    <xf borderId="18" fillId="0" fontId="2" numFmtId="0" xfId="0" applyBorder="1" applyFont="1"/>
    <xf borderId="25" fillId="0" fontId="4" numFmtId="0" xfId="0" applyAlignment="1" applyBorder="1" applyFont="1">
      <alignment horizontal="right"/>
    </xf>
    <xf borderId="26" fillId="0" fontId="4" numFmtId="165" xfId="0" applyBorder="1" applyFont="1" applyNumberFormat="1"/>
    <xf borderId="5" fillId="0" fontId="4" numFmtId="167" xfId="0" applyBorder="1" applyFont="1" applyNumberFormat="1"/>
    <xf borderId="27" fillId="3" fontId="2" numFmtId="0" xfId="0" applyBorder="1" applyFont="1"/>
    <xf borderId="1" fillId="3" fontId="14" numFmtId="0" xfId="0" applyAlignment="1" applyBorder="1" applyFont="1">
      <alignment horizontal="center"/>
    </xf>
    <xf borderId="1" fillId="2" fontId="2" numFmtId="0" xfId="0" applyAlignment="1" applyBorder="1" applyFont="1">
      <alignment shrinkToFit="0" wrapText="1"/>
    </xf>
    <xf borderId="28" fillId="0" fontId="4" numFmtId="0" xfId="0" applyAlignment="1" applyBorder="1" applyFont="1">
      <alignment horizontal="center" shrinkToFit="0" vertical="center" wrapText="1"/>
    </xf>
    <xf borderId="29" fillId="11" fontId="4" numFmtId="3" xfId="0" applyAlignment="1" applyBorder="1" applyFont="1" applyNumberFormat="1">
      <alignment horizontal="center" vertical="center"/>
    </xf>
    <xf borderId="30" fillId="11" fontId="4" numFmtId="3" xfId="0" applyAlignment="1" applyBorder="1" applyFont="1" applyNumberFormat="1">
      <alignment horizontal="center" vertical="center"/>
    </xf>
    <xf borderId="31" fillId="10" fontId="2" numFmtId="0" xfId="0" applyAlignment="1" applyBorder="1" applyFont="1">
      <alignment horizontal="center" vertical="center"/>
    </xf>
    <xf borderId="32" fillId="10" fontId="2" numFmtId="0" xfId="0" applyAlignment="1" applyBorder="1" applyFont="1">
      <alignment horizontal="center" shrinkToFit="0" vertical="center" wrapText="1"/>
    </xf>
    <xf borderId="33" fillId="10" fontId="2" numFmtId="0" xfId="0" applyAlignment="1" applyBorder="1" applyFont="1">
      <alignment horizontal="center" shrinkToFit="0" vertical="center" wrapText="1"/>
    </xf>
    <xf borderId="34" fillId="10" fontId="2" numFmtId="0" xfId="0" applyAlignment="1" applyBorder="1" applyFont="1">
      <alignment horizontal="center" shrinkToFit="0" vertical="center" wrapText="1"/>
    </xf>
    <xf borderId="35" fillId="15" fontId="2" numFmtId="0" xfId="0" applyAlignment="1" applyBorder="1" applyFill="1" applyFont="1">
      <alignment horizontal="center" vertical="center"/>
    </xf>
    <xf borderId="36" fillId="15" fontId="2" numFmtId="0" xfId="0" applyAlignment="1" applyBorder="1" applyFont="1">
      <alignment horizontal="center" vertical="center"/>
    </xf>
    <xf borderId="37" fillId="15" fontId="2" numFmtId="0" xfId="0" applyAlignment="1" applyBorder="1" applyFont="1">
      <alignment horizontal="center" vertical="center"/>
    </xf>
    <xf borderId="38" fillId="16" fontId="2" numFmtId="0" xfId="0" applyAlignment="1" applyBorder="1" applyFill="1" applyFont="1">
      <alignment horizontal="center" vertical="center"/>
    </xf>
    <xf borderId="39" fillId="16" fontId="2" numFmtId="168" xfId="0" applyBorder="1" applyFont="1" applyNumberFormat="1"/>
    <xf borderId="40" fillId="3" fontId="2" numFmtId="168" xfId="0" applyBorder="1" applyFont="1" applyNumberFormat="1"/>
    <xf borderId="40" fillId="16" fontId="2" numFmtId="168" xfId="0" applyBorder="1" applyFont="1" applyNumberFormat="1"/>
    <xf borderId="41" fillId="16" fontId="2" numFmtId="168" xfId="0" applyBorder="1" applyFont="1" applyNumberFormat="1"/>
    <xf borderId="42" fillId="16" fontId="2" numFmtId="9" xfId="0" applyBorder="1" applyFont="1" applyNumberFormat="1"/>
    <xf borderId="35" fillId="14" fontId="2" numFmtId="0" xfId="0" applyAlignment="1" applyBorder="1" applyFont="1">
      <alignment horizontal="center" vertical="center"/>
    </xf>
    <xf borderId="43" fillId="0" fontId="4" numFmtId="10" xfId="0" applyAlignment="1" applyBorder="1" applyFont="1" applyNumberFormat="1">
      <alignment horizontal="center" vertical="center"/>
    </xf>
    <xf borderId="44" fillId="16" fontId="2" numFmtId="0" xfId="0" applyAlignment="1" applyBorder="1" applyFont="1">
      <alignment horizontal="center" vertical="center"/>
    </xf>
    <xf borderId="45" fillId="16" fontId="2" numFmtId="168" xfId="0" applyBorder="1" applyFont="1" applyNumberFormat="1"/>
    <xf borderId="46" fillId="3" fontId="2" numFmtId="168" xfId="0" applyBorder="1" applyFont="1" applyNumberFormat="1"/>
    <xf borderId="46" fillId="16" fontId="2" numFmtId="168" xfId="0" applyBorder="1" applyFont="1" applyNumberFormat="1"/>
    <xf borderId="47" fillId="12" fontId="2" numFmtId="0" xfId="0" applyAlignment="1" applyBorder="1" applyFont="1">
      <alignment horizontal="center" textRotation="90" vertical="center"/>
    </xf>
    <xf borderId="35" fillId="12" fontId="2" numFmtId="0" xfId="0" applyBorder="1" applyFont="1"/>
    <xf borderId="14" fillId="0" fontId="2" numFmtId="0" xfId="0" applyAlignment="1" applyBorder="1" applyFont="1">
      <alignment horizontal="center" vertical="center"/>
    </xf>
    <xf borderId="48" fillId="0" fontId="2" numFmtId="0" xfId="0" applyAlignment="1" applyBorder="1" applyFont="1">
      <alignment horizontal="center"/>
    </xf>
    <xf borderId="49" fillId="0" fontId="17" numFmtId="0" xfId="0" applyBorder="1" applyFont="1"/>
    <xf borderId="50" fillId="12" fontId="2" numFmtId="0" xfId="0" applyBorder="1" applyFont="1"/>
    <xf borderId="51" fillId="0" fontId="4" numFmtId="0" xfId="0" applyAlignment="1" applyBorder="1" applyFont="1">
      <alignment horizontal="center" vertical="center"/>
    </xf>
    <xf borderId="52" fillId="0" fontId="4" numFmtId="0" xfId="0" applyAlignment="1" applyBorder="1" applyFont="1">
      <alignment horizontal="center"/>
    </xf>
    <xf borderId="51" fillId="0" fontId="2" numFmtId="9" xfId="0" applyAlignment="1" applyBorder="1" applyFont="1" applyNumberFormat="1">
      <alignment horizontal="center" vertical="center"/>
    </xf>
    <xf borderId="52" fillId="0" fontId="2" numFmtId="9" xfId="0" applyAlignment="1" applyBorder="1" applyFont="1" applyNumberFormat="1">
      <alignment horizontal="center"/>
    </xf>
    <xf borderId="51" fillId="0" fontId="2" numFmtId="0" xfId="0" applyAlignment="1" applyBorder="1" applyFont="1">
      <alignment horizontal="center" vertical="center"/>
    </xf>
    <xf borderId="52" fillId="0" fontId="2" numFmtId="0" xfId="0" applyAlignment="1" applyBorder="1" applyFont="1">
      <alignment horizontal="center"/>
    </xf>
    <xf borderId="51" fillId="0" fontId="2" numFmtId="169" xfId="0" applyBorder="1" applyFont="1" applyNumberFormat="1"/>
    <xf borderId="52" fillId="0" fontId="2" numFmtId="170" xfId="0" applyAlignment="1" applyBorder="1" applyFont="1" applyNumberFormat="1">
      <alignment horizontal="center"/>
    </xf>
    <xf borderId="51" fillId="0" fontId="4" numFmtId="169" xfId="0" applyBorder="1" applyFont="1" applyNumberFormat="1"/>
    <xf borderId="52" fillId="0" fontId="4" numFmtId="170" xfId="0" applyAlignment="1" applyBorder="1" applyFont="1" applyNumberFormat="1">
      <alignment horizontal="center"/>
    </xf>
    <xf borderId="53" fillId="15" fontId="2" numFmtId="0" xfId="0" applyBorder="1" applyFont="1"/>
    <xf borderId="54" fillId="16" fontId="2" numFmtId="0" xfId="0" applyAlignment="1" applyBorder="1" applyFont="1">
      <alignment horizontal="center" vertical="center"/>
    </xf>
    <xf borderId="55" fillId="16" fontId="2" numFmtId="168" xfId="0" applyBorder="1" applyFont="1" applyNumberFormat="1"/>
    <xf borderId="56" fillId="3" fontId="2" numFmtId="168" xfId="0" applyBorder="1" applyFont="1" applyNumberFormat="1"/>
    <xf borderId="56" fillId="16" fontId="2" numFmtId="168" xfId="0" applyBorder="1" applyFont="1" applyNumberFormat="1"/>
    <xf borderId="57" fillId="10" fontId="2" numFmtId="0" xfId="0" applyBorder="1" applyFont="1"/>
    <xf borderId="58" fillId="10" fontId="2" numFmtId="168" xfId="0" applyBorder="1" applyFont="1" applyNumberFormat="1"/>
    <xf borderId="59" fillId="10" fontId="2" numFmtId="9" xfId="0" applyBorder="1" applyFont="1" applyNumberFormat="1"/>
    <xf borderId="53" fillId="17" fontId="2" numFmtId="0" xfId="0" applyBorder="1" applyFill="1" applyFont="1"/>
    <xf borderId="60" fillId="15" fontId="18" numFmtId="0" xfId="0" applyAlignment="1" applyBorder="1" applyFont="1">
      <alignment horizontal="center" vertical="center"/>
    </xf>
    <xf borderId="61" fillId="0" fontId="17" numFmtId="0" xfId="0" applyBorder="1" applyFont="1"/>
    <xf borderId="62" fillId="0" fontId="17" numFmtId="0" xfId="0" applyBorder="1" applyFont="1"/>
    <xf borderId="63" fillId="18" fontId="7" numFmtId="0" xfId="0" applyAlignment="1" applyBorder="1" applyFill="1" applyFont="1">
      <alignment vertical="center"/>
    </xf>
    <xf borderId="64" fillId="18" fontId="7" numFmtId="0" xfId="0" applyAlignment="1" applyBorder="1" applyFont="1">
      <alignment vertical="center"/>
    </xf>
    <xf borderId="33" fillId="18" fontId="7" numFmtId="0" xfId="0" applyAlignment="1" applyBorder="1" applyFont="1">
      <alignment vertical="center"/>
    </xf>
    <xf borderId="33" fillId="18" fontId="7" numFmtId="0" xfId="0" applyAlignment="1" applyBorder="1" applyFont="1">
      <alignment horizontal="center" vertical="center"/>
    </xf>
    <xf borderId="65" fillId="18" fontId="7" numFmtId="0" xfId="0" applyAlignment="1" applyBorder="1" applyFont="1">
      <alignment vertical="center"/>
    </xf>
    <xf borderId="66" fillId="3" fontId="2" numFmtId="0" xfId="0" applyAlignment="1" applyBorder="1" applyFont="1">
      <alignment horizontal="center" vertical="center"/>
    </xf>
    <xf borderId="67" fillId="3" fontId="4" numFmtId="0" xfId="0" applyAlignment="1" applyBorder="1" applyFont="1">
      <alignment horizontal="center" vertical="center"/>
    </xf>
    <xf borderId="53" fillId="19" fontId="2" numFmtId="0" xfId="0" applyBorder="1" applyFill="1" applyFont="1"/>
    <xf borderId="20" fillId="0" fontId="2" numFmtId="0" xfId="0" applyBorder="1" applyFont="1"/>
    <xf borderId="68" fillId="3" fontId="2" numFmtId="0" xfId="0" applyBorder="1" applyFont="1"/>
    <xf borderId="69" fillId="0" fontId="19" numFmtId="0" xfId="0" applyBorder="1" applyFont="1"/>
    <xf borderId="70" fillId="0" fontId="2" numFmtId="0" xfId="0" applyAlignment="1" applyBorder="1" applyFont="1">
      <alignment horizontal="center"/>
    </xf>
    <xf borderId="71" fillId="3" fontId="2" numFmtId="0" xfId="0" applyBorder="1" applyFont="1"/>
    <xf borderId="72" fillId="3" fontId="2" numFmtId="0" xfId="0" applyAlignment="1" applyBorder="1" applyFont="1">
      <alignment horizontal="center"/>
    </xf>
    <xf borderId="73" fillId="3" fontId="2" numFmtId="2" xfId="0" applyBorder="1" applyFont="1" applyNumberFormat="1"/>
    <xf borderId="72" fillId="3" fontId="2" numFmtId="171" xfId="0" applyBorder="1" applyFont="1" applyNumberFormat="1"/>
    <xf borderId="72" fillId="3" fontId="2" numFmtId="9" xfId="0" applyBorder="1" applyFont="1" applyNumberFormat="1"/>
    <xf borderId="74" fillId="3" fontId="2" numFmtId="0" xfId="0" applyBorder="1" applyFont="1"/>
    <xf borderId="75" fillId="0" fontId="17" numFmtId="0" xfId="0" applyBorder="1" applyFont="1"/>
    <xf borderId="76" fillId="17" fontId="2" numFmtId="0" xfId="0" applyBorder="1" applyFont="1"/>
    <xf borderId="77" fillId="0" fontId="2" numFmtId="0" xfId="0" applyAlignment="1" applyBorder="1" applyFont="1">
      <alignment horizontal="center"/>
    </xf>
    <xf borderId="66" fillId="3" fontId="2" numFmtId="0" xfId="0" applyBorder="1" applyFont="1"/>
    <xf borderId="1" fillId="3" fontId="2" numFmtId="0" xfId="0" applyAlignment="1" applyBorder="1" applyFont="1">
      <alignment horizontal="center"/>
    </xf>
    <xf borderId="1" fillId="3" fontId="2" numFmtId="2" xfId="0" applyBorder="1" applyFont="1" applyNumberFormat="1"/>
    <xf borderId="1" fillId="3" fontId="2" numFmtId="171" xfId="0" applyBorder="1" applyFont="1" applyNumberFormat="1"/>
    <xf borderId="78" fillId="3" fontId="2" numFmtId="0" xfId="0" applyBorder="1" applyFont="1"/>
    <xf borderId="1" fillId="3" fontId="2" numFmtId="9" xfId="0" applyBorder="1" applyFont="1" applyNumberFormat="1"/>
    <xf borderId="67" fillId="3" fontId="2" numFmtId="0" xfId="0" applyBorder="1" applyFont="1"/>
    <xf borderId="79" fillId="20" fontId="20" numFmtId="0" xfId="0" applyAlignment="1" applyBorder="1" applyFill="1" applyFont="1">
      <alignment horizontal="center" textRotation="90" vertical="center"/>
    </xf>
    <xf borderId="80" fillId="20" fontId="2" numFmtId="0" xfId="0" applyBorder="1" applyFont="1"/>
    <xf borderId="81" fillId="0" fontId="17" numFmtId="0" xfId="0" applyBorder="1" applyFont="1"/>
    <xf borderId="50" fillId="20" fontId="2" numFmtId="0" xfId="0" applyBorder="1" applyFont="1"/>
    <xf borderId="52" fillId="0" fontId="2" numFmtId="169" xfId="0" applyAlignment="1" applyBorder="1" applyFont="1" applyNumberFormat="1">
      <alignment horizontal="center"/>
    </xf>
    <xf borderId="82" fillId="0" fontId="17" numFmtId="0" xfId="0" applyBorder="1" applyFont="1"/>
    <xf borderId="83" fillId="20" fontId="2" numFmtId="0" xfId="0" applyBorder="1" applyFont="1"/>
    <xf borderId="84" fillId="0" fontId="2" numFmtId="169" xfId="0" applyAlignment="1" applyBorder="1" applyFont="1" applyNumberFormat="1">
      <alignment horizontal="center"/>
    </xf>
    <xf borderId="85" fillId="10" fontId="2" numFmtId="0" xfId="0" applyAlignment="1" applyBorder="1" applyFont="1">
      <alignment horizontal="center"/>
    </xf>
    <xf borderId="86" fillId="0" fontId="17" numFmtId="0" xfId="0" applyBorder="1" applyFont="1"/>
    <xf borderId="87" fillId="0" fontId="17" numFmtId="0" xfId="0" applyBorder="1" applyFont="1"/>
    <xf borderId="88" fillId="0" fontId="4" numFmtId="0" xfId="0" applyAlignment="1" applyBorder="1" applyFont="1">
      <alignment horizontal="right" vertical="center"/>
    </xf>
    <xf borderId="89" fillId="3" fontId="2" numFmtId="2" xfId="0" applyBorder="1" applyFont="1" applyNumberFormat="1"/>
    <xf borderId="64" fillId="3" fontId="2" numFmtId="171" xfId="0" applyBorder="1" applyFont="1" applyNumberFormat="1"/>
    <xf borderId="36" fillId="3" fontId="2" numFmtId="0" xfId="0" applyBorder="1" applyFont="1"/>
    <xf borderId="1" fillId="3" fontId="4" numFmtId="171" xfId="0" applyBorder="1" applyFont="1" applyNumberFormat="1"/>
    <xf borderId="90" fillId="10" fontId="2" numFmtId="0" xfId="0" applyAlignment="1" applyBorder="1" applyFont="1">
      <alignment horizontal="center"/>
    </xf>
    <xf borderId="91" fillId="0" fontId="17" numFmtId="0" xfId="0" applyBorder="1" applyFont="1"/>
    <xf borderId="92" fillId="0" fontId="17" numFmtId="0" xfId="0" applyBorder="1" applyFont="1"/>
    <xf borderId="93" fillId="0" fontId="4" numFmtId="169" xfId="0" applyBorder="1" applyFont="1" applyNumberFormat="1"/>
    <xf borderId="94" fillId="21" fontId="4" numFmtId="0" xfId="0" applyAlignment="1" applyBorder="1" applyFill="1" applyFont="1">
      <alignment horizontal="center" vertical="center"/>
    </xf>
    <xf borderId="95" fillId="0" fontId="17" numFmtId="0" xfId="0" applyBorder="1" applyFont="1"/>
    <xf borderId="64" fillId="21" fontId="2" numFmtId="2" xfId="0" applyBorder="1" applyFont="1" applyNumberFormat="1"/>
    <xf borderId="33" fillId="21" fontId="2" numFmtId="171" xfId="0" applyBorder="1" applyFont="1" applyNumberFormat="1"/>
    <xf borderId="64" fillId="21" fontId="2" numFmtId="0" xfId="0" applyBorder="1" applyFont="1"/>
    <xf borderId="33" fillId="21" fontId="2" numFmtId="10" xfId="0" applyBorder="1" applyFont="1" applyNumberFormat="1"/>
    <xf borderId="65" fillId="21" fontId="2" numFmtId="0" xfId="0" applyBorder="1" applyFont="1"/>
    <xf borderId="0" fillId="0" fontId="2" numFmtId="172" xfId="0" applyFont="1" applyNumberFormat="1"/>
    <xf borderId="51" fillId="0" fontId="4" numFmtId="167" xfId="0" applyAlignment="1" applyBorder="1" applyFont="1" applyNumberFormat="1">
      <alignment horizontal="center" shrinkToFit="0" vertical="center" wrapText="1"/>
    </xf>
    <xf borderId="51" fillId="0" fontId="4" numFmtId="0" xfId="0" applyAlignment="1" applyBorder="1" applyFont="1">
      <alignment horizontal="center" shrinkToFit="0" vertical="center" wrapText="1"/>
    </xf>
    <xf borderId="1" fillId="3" fontId="2" numFmtId="3" xfId="0" applyBorder="1" applyFont="1" applyNumberFormat="1"/>
    <xf borderId="0" fillId="0" fontId="2" numFmtId="171" xfId="0" applyFont="1" applyNumberFormat="1"/>
    <xf borderId="1" fillId="22" fontId="2" numFmtId="172" xfId="0" applyAlignment="1" applyBorder="1" applyFill="1" applyFont="1" applyNumberFormat="1">
      <alignment horizontal="right"/>
    </xf>
    <xf borderId="51" fillId="0" fontId="4" numFmtId="167" xfId="0" applyAlignment="1" applyBorder="1" applyFont="1" applyNumberFormat="1">
      <alignment horizontal="center" vertical="center"/>
    </xf>
    <xf borderId="51" fillId="0" fontId="2" numFmtId="167" xfId="0" applyAlignment="1" applyBorder="1" applyFont="1" applyNumberFormat="1">
      <alignment horizontal="center" vertical="center"/>
    </xf>
    <xf borderId="94" fillId="15" fontId="4" numFmtId="0" xfId="0" applyAlignment="1" applyBorder="1" applyFont="1">
      <alignment horizontal="center" vertical="center"/>
    </xf>
    <xf borderId="33" fillId="15" fontId="2" numFmtId="2" xfId="0" applyBorder="1" applyFont="1" applyNumberFormat="1"/>
    <xf borderId="33" fillId="15" fontId="2" numFmtId="171" xfId="0" applyBorder="1" applyFont="1" applyNumberFormat="1"/>
    <xf borderId="33" fillId="15" fontId="2" numFmtId="0" xfId="0" applyBorder="1" applyFont="1"/>
    <xf borderId="33" fillId="15" fontId="2" numFmtId="10" xfId="0" applyBorder="1" applyFont="1" applyNumberFormat="1"/>
    <xf borderId="65" fillId="15" fontId="2" numFmtId="0" xfId="0" applyBorder="1" applyFont="1"/>
  </cellXfs>
  <cellStyles count="1">
    <cellStyle xfId="0" name="Normal" builtinId="0"/>
  </cellStyles>
  <dxfs count="1">
    <dxf>
      <font>
        <color rgb="FF9C0006"/>
      </font>
      <fill>
        <patternFill patternType="solid">
          <fgColor rgb="FFFFC7CE"/>
          <bgColor rgb="FFFFC7CE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4.png"/><Relationship Id="rId2" Type="http://schemas.openxmlformats.org/officeDocument/2006/relationships/image" Target="../media/image5.png"/><Relationship Id="rId3" Type="http://schemas.openxmlformats.org/officeDocument/2006/relationships/image" Target="../media/image2.png"/><Relationship Id="rId4" Type="http://schemas.openxmlformats.org/officeDocument/2006/relationships/image" Target="../media/image3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333375</xdr:colOff>
      <xdr:row>1</xdr:row>
      <xdr:rowOff>38100</xdr:rowOff>
    </xdr:from>
    <xdr:ext cx="3200400" cy="438150"/>
    <xdr:sp>
      <xdr:nvSpPr>
        <xdr:cNvPr id="4" name="Shape 4"/>
        <xdr:cNvSpPr txBox="1"/>
      </xdr:nvSpPr>
      <xdr:spPr>
        <a:xfrm>
          <a:off x="3745800" y="3560925"/>
          <a:ext cx="3200400" cy="43815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24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CONTACTO</a:t>
          </a:r>
          <a:r>
            <a:rPr b="1" lang="en-US" sz="24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MATUTINO</a:t>
          </a:r>
          <a:endParaRPr b="1" sz="2400">
            <a:solidFill>
              <a:schemeClr val="lt1"/>
            </a:solidFill>
          </a:endParaRPr>
        </a:p>
      </xdr:txBody>
    </xdr:sp>
    <xdr:clientData fLocksWithSheet="0"/>
  </xdr:oneCellAnchor>
  <xdr:oneCellAnchor>
    <xdr:from>
      <xdr:col>13</xdr:col>
      <xdr:colOff>47625</xdr:colOff>
      <xdr:row>1</xdr:row>
      <xdr:rowOff>66675</xdr:rowOff>
    </xdr:from>
    <xdr:ext cx="4686300" cy="1600200"/>
    <xdr:sp>
      <xdr:nvSpPr>
        <xdr:cNvPr id="5" name="Shape 5"/>
        <xdr:cNvSpPr/>
      </xdr:nvSpPr>
      <xdr:spPr>
        <a:xfrm>
          <a:off x="3007613" y="2984663"/>
          <a:ext cx="4676775" cy="1590675"/>
        </a:xfrm>
        <a:prstGeom prst="roundRect">
          <a:avLst>
            <a:gd fmla="val 16667" name="adj"/>
          </a:avLst>
        </a:prstGeom>
        <a:solidFill>
          <a:schemeClr val="lt1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14</xdr:col>
      <xdr:colOff>466725</xdr:colOff>
      <xdr:row>7</xdr:row>
      <xdr:rowOff>9525</xdr:rowOff>
    </xdr:from>
    <xdr:ext cx="1152525" cy="257175"/>
    <xdr:sp>
      <xdr:nvSpPr>
        <xdr:cNvPr id="6" name="Shape 6"/>
        <xdr:cNvSpPr txBox="1"/>
      </xdr:nvSpPr>
      <xdr:spPr>
        <a:xfrm>
          <a:off x="4774500" y="3651632"/>
          <a:ext cx="1143001" cy="256737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1" lang="en-US" sz="1050">
              <a:solidFill>
                <a:srgbClr val="3A3838"/>
              </a:solidFill>
              <a:latin typeface="Calibri"/>
              <a:ea typeface="Calibri"/>
              <a:cs typeface="Calibri"/>
              <a:sym typeface="Calibri"/>
            </a:rPr>
            <a:t>CUOTA</a:t>
          </a:r>
          <a:r>
            <a:rPr b="0" i="1" lang="en-US" sz="1050">
              <a:solidFill>
                <a:srgbClr val="3A3838"/>
              </a:solidFill>
              <a:latin typeface="Calibri"/>
              <a:ea typeface="Calibri"/>
              <a:cs typeface="Calibri"/>
              <a:sym typeface="Calibri"/>
            </a:rPr>
            <a:t> </a:t>
          </a:r>
          <a:r>
            <a:rPr b="0" i="1" lang="en-US" sz="1050">
              <a:solidFill>
                <a:srgbClr val="3A3838"/>
              </a:solidFill>
              <a:latin typeface="Calibri"/>
              <a:ea typeface="Calibri"/>
              <a:cs typeface="Calibri"/>
              <a:sym typeface="Calibri"/>
            </a:rPr>
            <a:t>TOTAL</a:t>
          </a:r>
          <a:endParaRPr sz="1400"/>
        </a:p>
      </xdr:txBody>
    </xdr:sp>
    <xdr:clientData fLocksWithSheet="0"/>
  </xdr:oneCellAnchor>
  <xdr:oneCellAnchor>
    <xdr:from>
      <xdr:col>14</xdr:col>
      <xdr:colOff>0</xdr:colOff>
      <xdr:row>10</xdr:row>
      <xdr:rowOff>28575</xdr:rowOff>
    </xdr:from>
    <xdr:ext cx="5772150" cy="304800"/>
    <xdr:sp>
      <xdr:nvSpPr>
        <xdr:cNvPr id="7" name="Shape 7"/>
        <xdr:cNvSpPr/>
      </xdr:nvSpPr>
      <xdr:spPr>
        <a:xfrm>
          <a:off x="2459925" y="3632363"/>
          <a:ext cx="5772150" cy="295275"/>
        </a:xfrm>
        <a:prstGeom prst="round2SameRect">
          <a:avLst>
            <a:gd fmla="val 50000" name="adj1"/>
            <a:gd fmla="val 0" name="adj2"/>
          </a:avLst>
        </a:prstGeom>
        <a:solidFill>
          <a:srgbClr val="2E75B5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20</xdr:col>
      <xdr:colOff>114300</xdr:colOff>
      <xdr:row>1</xdr:row>
      <xdr:rowOff>57150</xdr:rowOff>
    </xdr:from>
    <xdr:ext cx="1895475" cy="1600200"/>
    <xdr:sp>
      <xdr:nvSpPr>
        <xdr:cNvPr id="8" name="Shape 8"/>
        <xdr:cNvSpPr/>
      </xdr:nvSpPr>
      <xdr:spPr>
        <a:xfrm>
          <a:off x="4403025" y="2984663"/>
          <a:ext cx="1885950" cy="1590675"/>
        </a:xfrm>
        <a:prstGeom prst="roundRect">
          <a:avLst>
            <a:gd fmla="val 16667" name="adj"/>
          </a:avLst>
        </a:prstGeom>
        <a:solidFill>
          <a:schemeClr val="lt1"/>
        </a:solidFill>
        <a:ln>
          <a:noFill/>
        </a:ln>
        <a:effectLst>
          <a:outerShdw blurRad="50800" rotWithShape="0" algn="tl" dir="2700000" dist="38100">
            <a:srgbClr val="000000">
              <a:alpha val="4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20</xdr:col>
      <xdr:colOff>371475</xdr:colOff>
      <xdr:row>2</xdr:row>
      <xdr:rowOff>76200</xdr:rowOff>
    </xdr:from>
    <xdr:ext cx="971550" cy="266700"/>
    <xdr:sp>
      <xdr:nvSpPr>
        <xdr:cNvPr id="9" name="Shape 9"/>
        <xdr:cNvSpPr txBox="1"/>
      </xdr:nvSpPr>
      <xdr:spPr>
        <a:xfrm>
          <a:off x="4861957" y="3647720"/>
          <a:ext cx="968086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Herramientas</a:t>
          </a:r>
          <a:endParaRPr sz="1400"/>
        </a:p>
      </xdr:txBody>
    </xdr:sp>
    <xdr:clientData fLocksWithSheet="0"/>
  </xdr:oneCellAnchor>
  <xdr:oneCellAnchor>
    <xdr:from>
      <xdr:col>20</xdr:col>
      <xdr:colOff>285750</xdr:colOff>
      <xdr:row>3</xdr:row>
      <xdr:rowOff>161925</xdr:rowOff>
    </xdr:from>
    <xdr:ext cx="1133475" cy="323850"/>
    <xdr:sp>
      <xdr:nvSpPr>
        <xdr:cNvPr id="10" name="Shape 10"/>
        <xdr:cNvSpPr/>
      </xdr:nvSpPr>
      <xdr:spPr>
        <a:xfrm>
          <a:off x="4784025" y="3622838"/>
          <a:ext cx="1123950" cy="314325"/>
        </a:xfrm>
        <a:prstGeom prst="roundRect">
          <a:avLst>
            <a:gd fmla="val 16667" name="adj"/>
          </a:avLst>
        </a:prstGeom>
        <a:solidFill>
          <a:srgbClr val="F4B081"/>
        </a:soli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i="1" lang="en-US" sz="1100">
              <a:solidFill>
                <a:srgbClr val="262626"/>
              </a:solidFill>
              <a:latin typeface="Calibri"/>
              <a:ea typeface="Calibri"/>
              <a:cs typeface="Calibri"/>
              <a:sym typeface="Calibri"/>
            </a:rPr>
            <a:t>Nuevo Dia</a:t>
          </a:r>
          <a:endParaRPr sz="1400"/>
        </a:p>
      </xdr:txBody>
    </xdr:sp>
    <xdr:clientData fLocksWithSheet="0"/>
  </xdr:oneCellAnchor>
  <xdr:oneCellAnchor>
    <xdr:from>
      <xdr:col>14</xdr:col>
      <xdr:colOff>466725</xdr:colOff>
      <xdr:row>5</xdr:row>
      <xdr:rowOff>95250</xdr:rowOff>
    </xdr:from>
    <xdr:ext cx="933450" cy="409575"/>
    <xdr:sp>
      <xdr:nvSpPr>
        <xdr:cNvPr id="11" name="Shape 11"/>
        <xdr:cNvSpPr txBox="1"/>
      </xdr:nvSpPr>
      <xdr:spPr>
        <a:xfrm>
          <a:off x="4884037" y="3577284"/>
          <a:ext cx="923926" cy="405432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sz="1400"/>
        </a:p>
      </xdr:txBody>
    </xdr:sp>
    <xdr:clientData fLocksWithSheet="0"/>
  </xdr:oneCellAnchor>
  <xdr:oneCellAnchor>
    <xdr:from>
      <xdr:col>14</xdr:col>
      <xdr:colOff>438150</xdr:colOff>
      <xdr:row>3</xdr:row>
      <xdr:rowOff>171450</xdr:rowOff>
    </xdr:from>
    <xdr:ext cx="1352550" cy="257175"/>
    <xdr:sp>
      <xdr:nvSpPr>
        <xdr:cNvPr id="12" name="Shape 12"/>
        <xdr:cNvSpPr txBox="1"/>
      </xdr:nvSpPr>
      <xdr:spPr>
        <a:xfrm>
          <a:off x="4674487" y="3651632"/>
          <a:ext cx="1343026" cy="256737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i="1" lang="en-US" sz="1050">
              <a:solidFill>
                <a:srgbClr val="3A3838"/>
              </a:solidFill>
              <a:latin typeface="Calibri"/>
              <a:ea typeface="Calibri"/>
              <a:cs typeface="Calibri"/>
              <a:sym typeface="Calibri"/>
            </a:rPr>
            <a:t>CUOTA</a:t>
          </a:r>
          <a:r>
            <a:rPr b="0" i="1" lang="en-US" sz="1050">
              <a:solidFill>
                <a:srgbClr val="3A3838"/>
              </a:solidFill>
              <a:latin typeface="Calibri"/>
              <a:ea typeface="Calibri"/>
              <a:cs typeface="Calibri"/>
              <a:sym typeface="Calibri"/>
            </a:rPr>
            <a:t> SUPERVISOR</a:t>
          </a:r>
          <a:endParaRPr b="0" i="1" sz="1050">
            <a:solidFill>
              <a:srgbClr val="3A3838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14</xdr:col>
      <xdr:colOff>476250</xdr:colOff>
      <xdr:row>2</xdr:row>
      <xdr:rowOff>38100</xdr:rowOff>
    </xdr:from>
    <xdr:ext cx="1200150" cy="409575"/>
    <xdr:sp>
      <xdr:nvSpPr>
        <xdr:cNvPr id="13" name="Shape 13"/>
        <xdr:cNvSpPr txBox="1"/>
      </xdr:nvSpPr>
      <xdr:spPr>
        <a:xfrm>
          <a:off x="4750688" y="3577284"/>
          <a:ext cx="1190625" cy="405432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b="1" i="0" sz="2000" u="none" strike="noStrike">
            <a:solidFill>
              <a:srgbClr val="3A3838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14</xdr:col>
      <xdr:colOff>152400</xdr:colOff>
      <xdr:row>23</xdr:row>
      <xdr:rowOff>57150</xdr:rowOff>
    </xdr:from>
    <xdr:ext cx="190500" cy="266700"/>
    <xdr:sp>
      <xdr:nvSpPr>
        <xdr:cNvPr id="14" name="Shape 14"/>
        <xdr:cNvSpPr txBox="1"/>
      </xdr:nvSpPr>
      <xdr:spPr>
        <a:xfrm>
          <a:off x="5253635" y="3647720"/>
          <a:ext cx="184731" cy="26456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sp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22</xdr:col>
      <xdr:colOff>571500</xdr:colOff>
      <xdr:row>2</xdr:row>
      <xdr:rowOff>171450</xdr:rowOff>
    </xdr:from>
    <xdr:ext cx="66675" cy="323850"/>
    <xdr:grpSp>
      <xdr:nvGrpSpPr>
        <xdr:cNvPr id="2" name="Shape 2"/>
        <xdr:cNvGrpSpPr/>
      </xdr:nvGrpSpPr>
      <xdr:grpSpPr>
        <a:xfrm>
          <a:off x="5312663" y="3618075"/>
          <a:ext cx="66675" cy="323850"/>
          <a:chOff x="5312663" y="3618075"/>
          <a:chExt cx="66675" cy="323850"/>
        </a:xfrm>
      </xdr:grpSpPr>
      <xdr:grpSp>
        <xdr:nvGrpSpPr>
          <xdr:cNvPr id="15" name="Shape 15"/>
          <xdr:cNvGrpSpPr/>
        </xdr:nvGrpSpPr>
        <xdr:grpSpPr>
          <a:xfrm>
            <a:off x="5312663" y="3618075"/>
            <a:ext cx="66675" cy="323850"/>
            <a:chOff x="12847879" y="581025"/>
            <a:chExt cx="344246" cy="266700"/>
          </a:xfrm>
        </xdr:grpSpPr>
        <xdr:sp>
          <xdr:nvSpPr>
            <xdr:cNvPr id="16" name="Shape 16"/>
            <xdr:cNvSpPr/>
          </xdr:nvSpPr>
          <xdr:spPr>
            <a:xfrm>
              <a:off x="12847879" y="581025"/>
              <a:ext cx="344225" cy="2667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17" name="Shape 17"/>
            <xdr:cNvSpPr/>
          </xdr:nvSpPr>
          <xdr:spPr>
            <a:xfrm>
              <a:off x="12847879" y="581025"/>
              <a:ext cx="344246" cy="266700"/>
            </a:xfrm>
            <a:prstGeom prst="roundRect">
              <a:avLst>
                <a:gd fmla="val 16667" name="adj"/>
              </a:avLst>
            </a:prstGeom>
            <a:solidFill>
              <a:srgbClr val="DC5454"/>
            </a:solidFill>
            <a:ln cap="flat" cmpd="sng" w="12700">
              <a:solidFill>
                <a:schemeClr val="dk1"/>
              </a:solidFill>
              <a:prstDash val="solid"/>
              <a:miter lim="8000"/>
              <a:headEnd len="sm" w="sm" type="none"/>
              <a:tailEnd len="sm" w="sm" type="none"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pic>
          <xdr:nvPicPr>
            <xdr:cNvPr id="18" name="Shape 18"/>
            <xdr:cNvPicPr preferRelativeResize="0"/>
          </xdr:nvPicPr>
          <xdr:blipFill rotWithShape="1">
            <a:blip r:embed="rId1">
              <a:alphaModFix/>
            </a:blip>
            <a:srcRect b="0" l="0" r="0" t="0"/>
            <a:stretch/>
          </xdr:blipFill>
          <xdr:spPr>
            <a:xfrm>
              <a:off x="12915436" y="614711"/>
              <a:ext cx="198863" cy="199167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  <xdr:oneCellAnchor>
    <xdr:from>
      <xdr:col>3</xdr:col>
      <xdr:colOff>295275</xdr:colOff>
      <xdr:row>6</xdr:row>
      <xdr:rowOff>19050</xdr:rowOff>
    </xdr:from>
    <xdr:ext cx="5543550" cy="5981700"/>
    <xdr:grpSp>
      <xdr:nvGrpSpPr>
        <xdr:cNvPr id="2" name="Shape 2"/>
        <xdr:cNvGrpSpPr/>
      </xdr:nvGrpSpPr>
      <xdr:grpSpPr>
        <a:xfrm>
          <a:off x="2574225" y="789150"/>
          <a:ext cx="5543550" cy="5981700"/>
          <a:chOff x="2574225" y="789150"/>
          <a:chExt cx="5543550" cy="5981700"/>
        </a:xfrm>
      </xdr:grpSpPr>
      <xdr:grpSp>
        <xdr:nvGrpSpPr>
          <xdr:cNvPr id="19" name="Shape 19"/>
          <xdr:cNvGrpSpPr/>
        </xdr:nvGrpSpPr>
        <xdr:grpSpPr>
          <a:xfrm>
            <a:off x="2574225" y="789150"/>
            <a:ext cx="5543550" cy="5981700"/>
            <a:chOff x="676275" y="1914525"/>
            <a:chExt cx="5724525" cy="6362700"/>
          </a:xfrm>
        </xdr:grpSpPr>
        <xdr:sp>
          <xdr:nvSpPr>
            <xdr:cNvPr id="16" name="Shape 16"/>
            <xdr:cNvSpPr/>
          </xdr:nvSpPr>
          <xdr:spPr>
            <a:xfrm>
              <a:off x="676275" y="1914525"/>
              <a:ext cx="5724525" cy="63627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20" name="Shape 20"/>
            <xdr:cNvSpPr/>
          </xdr:nvSpPr>
          <xdr:spPr>
            <a:xfrm>
              <a:off x="676275" y="1914525"/>
              <a:ext cx="5724525" cy="6362700"/>
            </a:xfrm>
            <a:prstGeom prst="roundRect">
              <a:avLst>
                <a:gd fmla="val 3616" name="adj"/>
              </a:avLst>
            </a:prstGeom>
            <a:solidFill>
              <a:schemeClr val="lt1"/>
            </a:solidFill>
            <a:ln>
              <a:noFill/>
            </a:ln>
            <a:effectLst>
              <a:outerShdw blurRad="50800" rotWithShape="0" algn="t" dir="5400000" dist="38100">
                <a:srgbClr val="000000">
                  <a:alpha val="40000"/>
                </a:srgbClr>
              </a:outerShdw>
            </a:effectLst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21" name="Shape 21"/>
            <xdr:cNvSpPr txBox="1"/>
          </xdr:nvSpPr>
          <xdr:spPr>
            <a:xfrm>
              <a:off x="2113794" y="1936912"/>
              <a:ext cx="3143250" cy="371475"/>
            </a:xfrm>
            <a:prstGeom prst="rect">
              <a:avLst/>
            </a:prstGeom>
            <a:solidFill>
              <a:schemeClr val="lt1"/>
            </a:solidFill>
            <a:ln>
              <a:noFill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b="1" i="0" lang="en-US" sz="1400">
                  <a:solidFill>
                    <a:schemeClr val="dk1"/>
                  </a:solidFill>
                  <a:latin typeface="Calibri"/>
                  <a:ea typeface="Calibri"/>
                  <a:cs typeface="Calibri"/>
                  <a:sym typeface="Calibri"/>
                </a:rPr>
                <a:t>Guía de Reunión Operativa Diaria</a:t>
              </a:r>
              <a:endParaRPr sz="1400"/>
            </a:p>
          </xdr:txBody>
        </xdr:sp>
        <xdr:sp>
          <xdr:nvSpPr>
            <xdr:cNvPr id="22" name="Shape 22"/>
            <xdr:cNvSpPr/>
          </xdr:nvSpPr>
          <xdr:spPr>
            <a:xfrm>
              <a:off x="1994891" y="1956352"/>
              <a:ext cx="76200" cy="361950"/>
            </a:xfrm>
            <a:prstGeom prst="rect">
              <a:avLst/>
            </a:prstGeom>
            <a:solidFill>
              <a:schemeClr val="accent3"/>
            </a:solidFill>
            <a:ln>
              <a:noFill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grpSp>
          <xdr:nvGrpSpPr>
            <xdr:cNvPr id="23" name="Shape 23"/>
            <xdr:cNvGrpSpPr/>
          </xdr:nvGrpSpPr>
          <xdr:grpSpPr>
            <a:xfrm>
              <a:off x="1027287" y="2426633"/>
              <a:ext cx="4849752" cy="321609"/>
              <a:chOff x="2253356" y="2588558"/>
              <a:chExt cx="4876256" cy="302559"/>
            </a:xfrm>
          </xdr:grpSpPr>
          <xdr:sp>
            <xdr:nvSpPr>
              <xdr:cNvPr id="24" name="Shape 24"/>
              <xdr:cNvSpPr txBox="1"/>
            </xdr:nvSpPr>
            <xdr:spPr>
              <a:xfrm>
                <a:off x="2558183" y="2601335"/>
                <a:ext cx="4571429" cy="266700"/>
              </a:xfrm>
              <a:prstGeom prst="rect">
                <a:avLst/>
              </a:prstGeom>
              <a:solidFill>
                <a:schemeClr val="lt1"/>
              </a:solidFill>
              <a:ln>
                <a:noFill/>
              </a:ln>
            </xdr:spPr>
            <xdr:txBody>
              <a:bodyPr anchorCtr="0" anchor="t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i="0" lang="en-US" sz="1200">
                    <a:solidFill>
                      <a:schemeClr val="dk1"/>
                    </a:solidFill>
                    <a:latin typeface="Calibri"/>
                    <a:ea typeface="Calibri"/>
                    <a:cs typeface="Calibri"/>
                    <a:sym typeface="Calibri"/>
                  </a:rPr>
                  <a:t>Saludos</a:t>
                </a:r>
                <a:r>
                  <a:rPr b="0" i="0" lang="en-US" sz="1200">
                    <a:solidFill>
                      <a:schemeClr val="dk1"/>
                    </a:solidFill>
                    <a:latin typeface="Calibri"/>
                    <a:ea typeface="Calibri"/>
                    <a:cs typeface="Calibri"/>
                    <a:sym typeface="Calibri"/>
                  </a:rPr>
                  <a:t> (resaltar algo importante) algo bueno que este sucediendo</a:t>
                </a:r>
                <a:endParaRPr b="0" sz="1200"/>
              </a:p>
            </xdr:txBody>
          </xdr:sp>
          <xdr:sp>
            <xdr:nvSpPr>
              <xdr:cNvPr id="25" name="Shape 25"/>
              <xdr:cNvSpPr/>
            </xdr:nvSpPr>
            <xdr:spPr>
              <a:xfrm>
                <a:off x="2253356" y="2588558"/>
                <a:ext cx="310354" cy="302559"/>
              </a:xfrm>
              <a:prstGeom prst="rect">
                <a:avLst/>
              </a:prstGeom>
              <a:solidFill>
                <a:srgbClr val="F4B081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ctr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lang="en-US" sz="1400">
                    <a:solidFill>
                      <a:srgbClr val="3F3F3F"/>
                    </a:solidFill>
                    <a:latin typeface="Calibri"/>
                    <a:ea typeface="Calibri"/>
                    <a:cs typeface="Calibri"/>
                    <a:sym typeface="Calibri"/>
                  </a:rPr>
                  <a:t>1</a:t>
                </a:r>
                <a:endParaRPr sz="1400"/>
              </a:p>
            </xdr:txBody>
          </xdr:sp>
        </xdr:grpSp>
        <xdr:grpSp>
          <xdr:nvGrpSpPr>
            <xdr:cNvPr id="26" name="Shape 26"/>
            <xdr:cNvGrpSpPr/>
          </xdr:nvGrpSpPr>
          <xdr:grpSpPr>
            <a:xfrm>
              <a:off x="1027287" y="2875118"/>
              <a:ext cx="4849752" cy="541239"/>
              <a:chOff x="2253356" y="2588558"/>
              <a:chExt cx="4876256" cy="388296"/>
            </a:xfrm>
          </xdr:grpSpPr>
          <xdr:sp>
            <xdr:nvSpPr>
              <xdr:cNvPr id="27" name="Shape 27"/>
              <xdr:cNvSpPr txBox="1"/>
            </xdr:nvSpPr>
            <xdr:spPr>
              <a:xfrm>
                <a:off x="2558183" y="2601334"/>
                <a:ext cx="4571429" cy="375520"/>
              </a:xfrm>
              <a:prstGeom prst="rect">
                <a:avLst/>
              </a:prstGeom>
              <a:solidFill>
                <a:schemeClr val="lt1"/>
              </a:solidFill>
              <a:ln>
                <a:noFill/>
              </a:ln>
            </xdr:spPr>
            <xdr:txBody>
              <a:bodyPr anchorCtr="0" anchor="t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lang="en-US" sz="1200">
                    <a:solidFill>
                      <a:schemeClr val="dk1"/>
                    </a:solidFill>
                    <a:latin typeface="Calibri"/>
                    <a:ea typeface="Calibri"/>
                    <a:cs typeface="Calibri"/>
                    <a:sym typeface="Calibri"/>
                  </a:rPr>
                  <a:t>Incidencias o novedades, focos para el día</a:t>
                </a:r>
                <a:r>
                  <a:rPr lang="en-US" sz="1200">
                    <a:solidFill>
                      <a:schemeClr val="dk1"/>
                    </a:solidFill>
                    <a:latin typeface="Calibri"/>
                    <a:ea typeface="Calibri"/>
                    <a:cs typeface="Calibri"/>
                    <a:sym typeface="Calibri"/>
                  </a:rPr>
                  <a:t> (inventario, cambios de lista, algún cambio de la política).</a:t>
                </a:r>
                <a:endParaRPr b="0" sz="1200"/>
              </a:p>
            </xdr:txBody>
          </xdr:sp>
          <xdr:sp>
            <xdr:nvSpPr>
              <xdr:cNvPr id="28" name="Shape 28"/>
              <xdr:cNvSpPr/>
            </xdr:nvSpPr>
            <xdr:spPr>
              <a:xfrm>
                <a:off x="2253356" y="2588558"/>
                <a:ext cx="310354" cy="302559"/>
              </a:xfrm>
              <a:prstGeom prst="rect">
                <a:avLst/>
              </a:prstGeom>
              <a:solidFill>
                <a:srgbClr val="F4B081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ctr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lang="en-US" sz="1400">
                    <a:solidFill>
                      <a:srgbClr val="3F3F3F"/>
                    </a:solidFill>
                    <a:latin typeface="Calibri"/>
                    <a:ea typeface="Calibri"/>
                    <a:cs typeface="Calibri"/>
                    <a:sym typeface="Calibri"/>
                  </a:rPr>
                  <a:t>2</a:t>
                </a:r>
                <a:endParaRPr sz="1400"/>
              </a:p>
            </xdr:txBody>
          </xdr:sp>
        </xdr:grpSp>
        <xdr:grpSp>
          <xdr:nvGrpSpPr>
            <xdr:cNvPr id="29" name="Shape 29"/>
            <xdr:cNvGrpSpPr/>
          </xdr:nvGrpSpPr>
          <xdr:grpSpPr>
            <a:xfrm>
              <a:off x="1027287" y="3543233"/>
              <a:ext cx="4849752" cy="321609"/>
              <a:chOff x="2253356" y="2588558"/>
              <a:chExt cx="4876256" cy="302559"/>
            </a:xfrm>
          </xdr:grpSpPr>
          <xdr:sp>
            <xdr:nvSpPr>
              <xdr:cNvPr id="30" name="Shape 30"/>
              <xdr:cNvSpPr txBox="1"/>
            </xdr:nvSpPr>
            <xdr:spPr>
              <a:xfrm>
                <a:off x="2558183" y="2601335"/>
                <a:ext cx="4571429" cy="266700"/>
              </a:xfrm>
              <a:prstGeom prst="rect">
                <a:avLst/>
              </a:prstGeom>
              <a:solidFill>
                <a:schemeClr val="lt1"/>
              </a:solidFill>
              <a:ln>
                <a:noFill/>
              </a:ln>
            </xdr:spPr>
            <xdr:txBody>
              <a:bodyPr anchorCtr="0" anchor="t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lang="en-US" sz="1200">
                    <a:solidFill>
                      <a:schemeClr val="dk1"/>
                    </a:solidFill>
                    <a:latin typeface="Calibri"/>
                    <a:ea typeface="Calibri"/>
                    <a:cs typeface="Calibri"/>
                    <a:sym typeface="Calibri"/>
                  </a:rPr>
                  <a:t>El foco del día</a:t>
                </a:r>
                <a:r>
                  <a:rPr lang="en-US" sz="1200">
                    <a:solidFill>
                      <a:schemeClr val="dk1"/>
                    </a:solidFill>
                    <a:latin typeface="Calibri"/>
                    <a:ea typeface="Calibri"/>
                    <a:cs typeface="Calibri"/>
                    <a:sym typeface="Calibri"/>
                  </a:rPr>
                  <a:t> (la venta puntual a lograr).</a:t>
                </a:r>
                <a:endParaRPr b="0" sz="1200"/>
              </a:p>
            </xdr:txBody>
          </xdr:sp>
          <xdr:sp>
            <xdr:nvSpPr>
              <xdr:cNvPr id="31" name="Shape 31"/>
              <xdr:cNvSpPr/>
            </xdr:nvSpPr>
            <xdr:spPr>
              <a:xfrm>
                <a:off x="2253356" y="2588558"/>
                <a:ext cx="310354" cy="302559"/>
              </a:xfrm>
              <a:prstGeom prst="rect">
                <a:avLst/>
              </a:prstGeom>
              <a:solidFill>
                <a:srgbClr val="F4B081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ctr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lang="en-US" sz="1400">
                    <a:solidFill>
                      <a:srgbClr val="3F3F3F"/>
                    </a:solidFill>
                    <a:latin typeface="Calibri"/>
                    <a:ea typeface="Calibri"/>
                    <a:cs typeface="Calibri"/>
                    <a:sym typeface="Calibri"/>
                  </a:rPr>
                  <a:t>3</a:t>
                </a:r>
                <a:endParaRPr sz="1400"/>
              </a:p>
            </xdr:txBody>
          </xdr:sp>
        </xdr:grpSp>
        <xdr:grpSp>
          <xdr:nvGrpSpPr>
            <xdr:cNvPr id="32" name="Shape 32"/>
            <xdr:cNvGrpSpPr/>
          </xdr:nvGrpSpPr>
          <xdr:grpSpPr>
            <a:xfrm>
              <a:off x="1027287" y="3991718"/>
              <a:ext cx="4849752" cy="340659"/>
              <a:chOff x="2253356" y="2588558"/>
              <a:chExt cx="4876256" cy="302559"/>
            </a:xfrm>
          </xdr:grpSpPr>
          <xdr:sp>
            <xdr:nvSpPr>
              <xdr:cNvPr id="33" name="Shape 33"/>
              <xdr:cNvSpPr txBox="1"/>
            </xdr:nvSpPr>
            <xdr:spPr>
              <a:xfrm>
                <a:off x="2558183" y="2601335"/>
                <a:ext cx="4571429" cy="266700"/>
              </a:xfrm>
              <a:prstGeom prst="rect">
                <a:avLst/>
              </a:prstGeom>
              <a:solidFill>
                <a:schemeClr val="lt1"/>
              </a:solidFill>
              <a:ln>
                <a:noFill/>
              </a:ln>
            </xdr:spPr>
            <xdr:txBody>
              <a:bodyPr anchorCtr="0" anchor="t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lang="en-US" sz="1200">
                    <a:solidFill>
                      <a:schemeClr val="dk1"/>
                    </a:solidFill>
                    <a:latin typeface="Calibri"/>
                    <a:ea typeface="Calibri"/>
                    <a:cs typeface="Calibri"/>
                    <a:sym typeface="Calibri"/>
                  </a:rPr>
                  <a:t>Cómo vamos hasta la fecha en las ventas.</a:t>
                </a:r>
                <a:endParaRPr sz="1200"/>
              </a:p>
            </xdr:txBody>
          </xdr:sp>
          <xdr:sp>
            <xdr:nvSpPr>
              <xdr:cNvPr id="34" name="Shape 34"/>
              <xdr:cNvSpPr/>
            </xdr:nvSpPr>
            <xdr:spPr>
              <a:xfrm>
                <a:off x="2253356" y="2588558"/>
                <a:ext cx="310354" cy="302559"/>
              </a:xfrm>
              <a:prstGeom prst="rect">
                <a:avLst/>
              </a:prstGeom>
              <a:solidFill>
                <a:srgbClr val="F4B081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ctr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lang="en-US" sz="1400">
                    <a:solidFill>
                      <a:srgbClr val="3F3F3F"/>
                    </a:solidFill>
                    <a:latin typeface="Calibri"/>
                    <a:ea typeface="Calibri"/>
                    <a:cs typeface="Calibri"/>
                    <a:sym typeface="Calibri"/>
                  </a:rPr>
                  <a:t>4</a:t>
                </a:r>
                <a:endParaRPr sz="1400"/>
              </a:p>
            </xdr:txBody>
          </xdr:sp>
        </xdr:grpSp>
        <xdr:grpSp>
          <xdr:nvGrpSpPr>
            <xdr:cNvPr id="35" name="Shape 35"/>
            <xdr:cNvGrpSpPr/>
          </xdr:nvGrpSpPr>
          <xdr:grpSpPr>
            <a:xfrm>
              <a:off x="1027287" y="4459253"/>
              <a:ext cx="4849752" cy="376942"/>
              <a:chOff x="2253356" y="2588558"/>
              <a:chExt cx="4876256" cy="246499"/>
            </a:xfrm>
          </xdr:grpSpPr>
          <xdr:sp>
            <xdr:nvSpPr>
              <xdr:cNvPr id="36" name="Shape 36"/>
              <xdr:cNvSpPr txBox="1"/>
            </xdr:nvSpPr>
            <xdr:spPr>
              <a:xfrm>
                <a:off x="2558183" y="2601335"/>
                <a:ext cx="4571429" cy="188477"/>
              </a:xfrm>
              <a:prstGeom prst="rect">
                <a:avLst/>
              </a:prstGeom>
              <a:solidFill>
                <a:schemeClr val="lt1"/>
              </a:solidFill>
              <a:ln>
                <a:noFill/>
              </a:ln>
            </xdr:spPr>
            <xdr:txBody>
              <a:bodyPr anchorCtr="0" anchor="t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lang="en-US" sz="1200">
                    <a:solidFill>
                      <a:schemeClr val="dk1"/>
                    </a:solidFill>
                    <a:latin typeface="Calibri"/>
                    <a:ea typeface="Calibri"/>
                    <a:cs typeface="Calibri"/>
                    <a:sym typeface="Calibri"/>
                  </a:rPr>
                  <a:t>Cuál es el alcance hasta la fecha</a:t>
                </a:r>
                <a:r>
                  <a:rPr lang="en-US" sz="1200">
                    <a:solidFill>
                      <a:schemeClr val="dk1"/>
                    </a:solidFill>
                    <a:latin typeface="Calibri"/>
                    <a:ea typeface="Calibri"/>
                    <a:cs typeface="Calibri"/>
                    <a:sym typeface="Calibri"/>
                  </a:rPr>
                  <a:t> (por vendedor).</a:t>
                </a:r>
                <a:endParaRPr b="0" sz="1200"/>
              </a:p>
            </xdr:txBody>
          </xdr:sp>
          <xdr:sp>
            <xdr:nvSpPr>
              <xdr:cNvPr id="37" name="Shape 37"/>
              <xdr:cNvSpPr/>
            </xdr:nvSpPr>
            <xdr:spPr>
              <a:xfrm>
                <a:off x="2253356" y="2588558"/>
                <a:ext cx="310354" cy="246499"/>
              </a:xfrm>
              <a:prstGeom prst="rect">
                <a:avLst/>
              </a:prstGeom>
              <a:solidFill>
                <a:srgbClr val="F4B081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ctr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lang="en-US" sz="1400">
                    <a:solidFill>
                      <a:srgbClr val="3F3F3F"/>
                    </a:solidFill>
                    <a:latin typeface="Calibri"/>
                    <a:ea typeface="Calibri"/>
                    <a:cs typeface="Calibri"/>
                    <a:sym typeface="Calibri"/>
                  </a:rPr>
                  <a:t>5</a:t>
                </a:r>
                <a:endParaRPr sz="1400"/>
              </a:p>
            </xdr:txBody>
          </xdr:sp>
        </xdr:grpSp>
        <xdr:grpSp>
          <xdr:nvGrpSpPr>
            <xdr:cNvPr id="38" name="Shape 38"/>
            <xdr:cNvGrpSpPr/>
          </xdr:nvGrpSpPr>
          <xdr:grpSpPr>
            <a:xfrm>
              <a:off x="1027287" y="4963070"/>
              <a:ext cx="5292575" cy="684023"/>
              <a:chOff x="2253356" y="2588558"/>
              <a:chExt cx="4876256" cy="279477"/>
            </a:xfrm>
          </xdr:grpSpPr>
          <xdr:sp>
            <xdr:nvSpPr>
              <xdr:cNvPr id="39" name="Shape 39"/>
              <xdr:cNvSpPr txBox="1"/>
            </xdr:nvSpPr>
            <xdr:spPr>
              <a:xfrm>
                <a:off x="2558183" y="2601335"/>
                <a:ext cx="4571429" cy="266700"/>
              </a:xfrm>
              <a:prstGeom prst="rect">
                <a:avLst/>
              </a:prstGeom>
              <a:solidFill>
                <a:schemeClr val="lt1"/>
              </a:solidFill>
              <a:ln>
                <a:noFill/>
              </a:ln>
            </xdr:spPr>
            <xdr:txBody>
              <a:bodyPr anchorCtr="0" anchor="t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lang="en-US" sz="1200">
                    <a:solidFill>
                      <a:schemeClr val="dk1"/>
                    </a:solidFill>
                    <a:latin typeface="Calibri"/>
                    <a:ea typeface="Calibri"/>
                    <a:cs typeface="Calibri"/>
                    <a:sym typeface="Calibri"/>
                  </a:rPr>
                  <a:t>Cuál fue tu resultado de ayer vs. tus objetivos</a:t>
                </a:r>
                <a:r>
                  <a:rPr lang="en-US" sz="1200">
                    <a:solidFill>
                      <a:schemeClr val="dk1"/>
                    </a:solidFill>
                    <a:latin typeface="Calibri"/>
                    <a:ea typeface="Calibri"/>
                    <a:cs typeface="Calibri"/>
                    <a:sym typeface="Calibri"/>
                  </a:rPr>
                  <a:t> (cumplimiento de ruta, cuántos pedidos, cuál fue el volumen vs. objetivo, cuánto fue tu venta del producto foco, cuál fue tu resultado de cobranzas, caso crítico de cobranzas).</a:t>
                </a:r>
                <a:endParaRPr sz="1400"/>
              </a:p>
            </xdr:txBody>
          </xdr:sp>
          <xdr:sp>
            <xdr:nvSpPr>
              <xdr:cNvPr id="40" name="Shape 40"/>
              <xdr:cNvSpPr/>
            </xdr:nvSpPr>
            <xdr:spPr>
              <a:xfrm>
                <a:off x="2253356" y="2588558"/>
                <a:ext cx="310354" cy="154962"/>
              </a:xfrm>
              <a:prstGeom prst="rect">
                <a:avLst/>
              </a:prstGeom>
              <a:solidFill>
                <a:srgbClr val="F4B081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ctr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lang="en-US" sz="1400">
                    <a:solidFill>
                      <a:srgbClr val="3F3F3F"/>
                    </a:solidFill>
                    <a:latin typeface="Calibri"/>
                    <a:ea typeface="Calibri"/>
                    <a:cs typeface="Calibri"/>
                    <a:sym typeface="Calibri"/>
                  </a:rPr>
                  <a:t>6</a:t>
                </a:r>
                <a:endParaRPr sz="1400"/>
              </a:p>
            </xdr:txBody>
          </xdr:sp>
        </xdr:grpSp>
        <xdr:grpSp>
          <xdr:nvGrpSpPr>
            <xdr:cNvPr id="41" name="Shape 41"/>
            <xdr:cNvGrpSpPr/>
          </xdr:nvGrpSpPr>
          <xdr:grpSpPr>
            <a:xfrm>
              <a:off x="1027287" y="5773968"/>
              <a:ext cx="4849752" cy="917525"/>
              <a:chOff x="2253356" y="2588558"/>
              <a:chExt cx="4876256" cy="792714"/>
            </a:xfrm>
          </xdr:grpSpPr>
          <xdr:sp>
            <xdr:nvSpPr>
              <xdr:cNvPr id="42" name="Shape 42"/>
              <xdr:cNvSpPr txBox="1"/>
            </xdr:nvSpPr>
            <xdr:spPr>
              <a:xfrm>
                <a:off x="2558183" y="2601333"/>
                <a:ext cx="4571429" cy="779939"/>
              </a:xfrm>
              <a:prstGeom prst="rect">
                <a:avLst/>
              </a:prstGeom>
              <a:solidFill>
                <a:schemeClr val="lt1"/>
              </a:solidFill>
              <a:ln>
                <a:noFill/>
              </a:ln>
            </xdr:spPr>
            <xdr:txBody>
              <a:bodyPr anchorCtr="0" anchor="t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lang="en-US" sz="1200">
                    <a:solidFill>
                      <a:schemeClr val="dk1"/>
                    </a:solidFill>
                    <a:latin typeface="Calibri"/>
                    <a:ea typeface="Calibri"/>
                    <a:cs typeface="Calibri"/>
                    <a:sym typeface="Calibri"/>
                  </a:rPr>
                  <a:t>Cuál es el propósito del día de hoy</a:t>
                </a:r>
                <a:r>
                  <a:rPr lang="en-US" sz="1200">
                    <a:solidFill>
                      <a:schemeClr val="dk1"/>
                    </a:solidFill>
                    <a:latin typeface="Calibri"/>
                    <a:ea typeface="Calibri"/>
                    <a:cs typeface="Calibri"/>
                    <a:sym typeface="Calibri"/>
                  </a:rPr>
                  <a:t> (cuántos clientes, cuánto volumen a lograr, cuál es la meta en cobranzas, ¿tienes casos críticos por atender hoy?, plan de venta de productos foco, qué clientes faltan por activar dentro o fuera de la ruta).</a:t>
                </a:r>
                <a:endParaRPr b="0" sz="1200"/>
              </a:p>
            </xdr:txBody>
          </xdr:sp>
          <xdr:sp>
            <xdr:nvSpPr>
              <xdr:cNvPr id="43" name="Shape 43"/>
              <xdr:cNvSpPr/>
            </xdr:nvSpPr>
            <xdr:spPr>
              <a:xfrm>
                <a:off x="2253356" y="2588558"/>
                <a:ext cx="310354" cy="302559"/>
              </a:xfrm>
              <a:prstGeom prst="rect">
                <a:avLst/>
              </a:prstGeom>
              <a:solidFill>
                <a:srgbClr val="F4B081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ctr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lang="en-US" sz="1400">
                    <a:solidFill>
                      <a:srgbClr val="3F3F3F"/>
                    </a:solidFill>
                    <a:latin typeface="Calibri"/>
                    <a:ea typeface="Calibri"/>
                    <a:cs typeface="Calibri"/>
                    <a:sym typeface="Calibri"/>
                  </a:rPr>
                  <a:t>7</a:t>
                </a:r>
                <a:endParaRPr sz="1400"/>
              </a:p>
            </xdr:txBody>
          </xdr:sp>
        </xdr:grpSp>
        <xdr:grpSp>
          <xdr:nvGrpSpPr>
            <xdr:cNvPr id="44" name="Shape 44"/>
            <xdr:cNvGrpSpPr/>
          </xdr:nvGrpSpPr>
          <xdr:grpSpPr>
            <a:xfrm>
              <a:off x="1027287" y="6818368"/>
              <a:ext cx="4849752" cy="485871"/>
              <a:chOff x="2253356" y="2588558"/>
              <a:chExt cx="4876256" cy="485871"/>
            </a:xfrm>
          </xdr:grpSpPr>
          <xdr:sp>
            <xdr:nvSpPr>
              <xdr:cNvPr id="45" name="Shape 45"/>
              <xdr:cNvSpPr txBox="1"/>
            </xdr:nvSpPr>
            <xdr:spPr>
              <a:xfrm>
                <a:off x="2558183" y="2601334"/>
                <a:ext cx="4571429" cy="473095"/>
              </a:xfrm>
              <a:prstGeom prst="rect">
                <a:avLst/>
              </a:prstGeom>
              <a:solidFill>
                <a:schemeClr val="lt1"/>
              </a:solidFill>
              <a:ln>
                <a:noFill/>
              </a:ln>
            </xdr:spPr>
            <xdr:txBody>
              <a:bodyPr anchorCtr="0" anchor="t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lang="en-US" sz="1200">
                    <a:solidFill>
                      <a:schemeClr val="dk1"/>
                    </a:solidFill>
                    <a:latin typeface="Calibri"/>
                    <a:ea typeface="Calibri"/>
                    <a:cs typeface="Calibri"/>
                    <a:sym typeface="Calibri"/>
                  </a:rPr>
                  <a:t>¿Qué te impide alcanzar los objetivos?</a:t>
                </a:r>
                <a:r>
                  <a:rPr lang="en-US" sz="1200">
                    <a:solidFill>
                      <a:schemeClr val="dk1"/>
                    </a:solidFill>
                    <a:latin typeface="Calibri"/>
                    <a:ea typeface="Calibri"/>
                    <a:cs typeface="Calibri"/>
                    <a:sym typeface="Calibri"/>
                  </a:rPr>
                  <a:t> (novedades, incidencias, entre otros) </a:t>
                </a:r>
                <a:r>
                  <a:rPr b="1" lang="en-US" sz="1200">
                    <a:solidFill>
                      <a:schemeClr val="dk1"/>
                    </a:solidFill>
                    <a:latin typeface="Calibri"/>
                    <a:ea typeface="Calibri"/>
                    <a:cs typeface="Calibri"/>
                    <a:sym typeface="Calibri"/>
                  </a:rPr>
                  <a:t>¿En qué te puedo ayudar?</a:t>
                </a:r>
                <a:endParaRPr b="0" sz="1200"/>
              </a:p>
            </xdr:txBody>
          </xdr:sp>
          <xdr:sp>
            <xdr:nvSpPr>
              <xdr:cNvPr id="46" name="Shape 46"/>
              <xdr:cNvSpPr/>
            </xdr:nvSpPr>
            <xdr:spPr>
              <a:xfrm>
                <a:off x="2253356" y="2588558"/>
                <a:ext cx="310354" cy="302559"/>
              </a:xfrm>
              <a:prstGeom prst="rect">
                <a:avLst/>
              </a:prstGeom>
              <a:solidFill>
                <a:srgbClr val="F4B081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ctr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lang="en-US" sz="1400">
                    <a:solidFill>
                      <a:srgbClr val="3F3F3F"/>
                    </a:solidFill>
                    <a:latin typeface="Calibri"/>
                    <a:ea typeface="Calibri"/>
                    <a:cs typeface="Calibri"/>
                    <a:sym typeface="Calibri"/>
                  </a:rPr>
                  <a:t>8</a:t>
                </a:r>
                <a:endParaRPr sz="1400"/>
              </a:p>
            </xdr:txBody>
          </xdr:sp>
        </xdr:grpSp>
        <xdr:grpSp>
          <xdr:nvGrpSpPr>
            <xdr:cNvPr id="47" name="Shape 47"/>
            <xdr:cNvGrpSpPr/>
          </xdr:nvGrpSpPr>
          <xdr:grpSpPr>
            <a:xfrm>
              <a:off x="1027287" y="7431114"/>
              <a:ext cx="4849752" cy="302559"/>
              <a:chOff x="2253356" y="2588558"/>
              <a:chExt cx="4876256" cy="302559"/>
            </a:xfrm>
          </xdr:grpSpPr>
          <xdr:sp>
            <xdr:nvSpPr>
              <xdr:cNvPr id="48" name="Shape 48"/>
              <xdr:cNvSpPr txBox="1"/>
            </xdr:nvSpPr>
            <xdr:spPr>
              <a:xfrm>
                <a:off x="2558183" y="2601335"/>
                <a:ext cx="4571429" cy="266700"/>
              </a:xfrm>
              <a:prstGeom prst="rect">
                <a:avLst/>
              </a:prstGeom>
              <a:solidFill>
                <a:schemeClr val="lt1"/>
              </a:solidFill>
              <a:ln>
                <a:noFill/>
              </a:ln>
            </xdr:spPr>
            <xdr:txBody>
              <a:bodyPr anchorCtr="0" anchor="t" bIns="45700" lIns="91425" spcFirstLastPara="1" rIns="91425" wrap="square" tIns="45700">
                <a:noAutofit/>
              </a:bodyPr>
              <a:lstStyle/>
              <a:p>
                <a:pPr indent="0" lvl="0" marL="0" rtl="0" algn="l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lang="en-US" sz="1200">
                    <a:solidFill>
                      <a:schemeClr val="dk1"/>
                    </a:solidFill>
                    <a:latin typeface="Calibri"/>
                    <a:ea typeface="Calibri"/>
                    <a:cs typeface="Calibri"/>
                    <a:sym typeface="Calibri"/>
                  </a:rPr>
                  <a:t>Despedida</a:t>
                </a:r>
                <a:r>
                  <a:rPr lang="en-US" sz="1200">
                    <a:solidFill>
                      <a:schemeClr val="dk1"/>
                    </a:solidFill>
                    <a:latin typeface="Calibri"/>
                    <a:ea typeface="Calibri"/>
                    <a:cs typeface="Calibri"/>
                    <a:sym typeface="Calibri"/>
                  </a:rPr>
                  <a:t> (reforzando algún punto estratégico).</a:t>
                </a:r>
                <a:endParaRPr b="0" sz="1200"/>
              </a:p>
            </xdr:txBody>
          </xdr:sp>
          <xdr:sp>
            <xdr:nvSpPr>
              <xdr:cNvPr id="49" name="Shape 49"/>
              <xdr:cNvSpPr/>
            </xdr:nvSpPr>
            <xdr:spPr>
              <a:xfrm>
                <a:off x="2253356" y="2588558"/>
                <a:ext cx="310354" cy="302559"/>
              </a:xfrm>
              <a:prstGeom prst="rect">
                <a:avLst/>
              </a:prstGeom>
              <a:solidFill>
                <a:srgbClr val="F4B081"/>
              </a:solidFill>
              <a:ln>
                <a:noFill/>
              </a:ln>
            </xdr:spPr>
            <xdr:txBody>
              <a:bodyPr anchorCtr="0" anchor="ctr" bIns="45700" lIns="91425" spcFirstLastPara="1" rIns="91425" wrap="square" tIns="45700">
                <a:noAutofit/>
              </a:bodyPr>
              <a:lstStyle/>
              <a:p>
                <a:pPr indent="0" lvl="0" marL="0" rtl="0" algn="ctr">
                  <a:spcBef>
                    <a:spcPts val="0"/>
                  </a:spcBef>
                  <a:spcAft>
                    <a:spcPts val="0"/>
                  </a:spcAft>
                  <a:buNone/>
                </a:pPr>
                <a:r>
                  <a:rPr b="1" lang="en-US" sz="1400">
                    <a:solidFill>
                      <a:srgbClr val="3F3F3F"/>
                    </a:solidFill>
                    <a:latin typeface="Calibri"/>
                    <a:ea typeface="Calibri"/>
                    <a:cs typeface="Calibri"/>
                    <a:sym typeface="Calibri"/>
                  </a:rPr>
                  <a:t>9</a:t>
                </a:r>
                <a:endParaRPr sz="1400"/>
              </a:p>
            </xdr:txBody>
          </xdr:sp>
        </xdr:grpSp>
      </xdr:grpSp>
    </xdr:grpSp>
    <xdr:clientData fLocksWithSheet="0"/>
  </xdr:oneCellAnchor>
  <xdr:oneCellAnchor>
    <xdr:from>
      <xdr:col>4</xdr:col>
      <xdr:colOff>238125</xdr:colOff>
      <xdr:row>5</xdr:row>
      <xdr:rowOff>0</xdr:rowOff>
    </xdr:from>
    <xdr:ext cx="3438525" cy="38100"/>
    <xdr:grpSp>
      <xdr:nvGrpSpPr>
        <xdr:cNvPr id="2" name="Shape 2"/>
        <xdr:cNvGrpSpPr/>
      </xdr:nvGrpSpPr>
      <xdr:grpSpPr>
        <a:xfrm>
          <a:off x="3626738" y="3780000"/>
          <a:ext cx="3438525" cy="0"/>
          <a:chOff x="3626738" y="3780000"/>
          <a:chExt cx="3438525" cy="0"/>
        </a:xfrm>
      </xdr:grpSpPr>
      <xdr:cxnSp>
        <xdr:nvCxnSpPr>
          <xdr:cNvPr id="50" name="Shape 50"/>
          <xdr:cNvCxnSpPr/>
        </xdr:nvCxnSpPr>
        <xdr:spPr>
          <a:xfrm>
            <a:off x="3626738" y="3780000"/>
            <a:ext cx="3438525" cy="0"/>
          </a:xfrm>
          <a:prstGeom prst="straightConnector1">
            <a:avLst/>
          </a:prstGeom>
          <a:noFill/>
          <a:ln cap="flat" cmpd="sng" w="9525">
            <a:solidFill>
              <a:schemeClr val="lt1"/>
            </a:solidFill>
            <a:prstDash val="solid"/>
            <a:miter lim="8000"/>
            <a:headEnd len="sm" w="sm" type="none"/>
            <a:tailEnd len="sm" w="sm" type="none"/>
          </a:ln>
        </xdr:spPr>
      </xdr:cxnSp>
    </xdr:grpSp>
    <xdr:clientData fLocksWithSheet="0"/>
  </xdr:oneCellAnchor>
  <xdr:oneCellAnchor>
    <xdr:from>
      <xdr:col>3</xdr:col>
      <xdr:colOff>638175</xdr:colOff>
      <xdr:row>0</xdr:row>
      <xdr:rowOff>180975</xdr:rowOff>
    </xdr:from>
    <xdr:ext cx="647700" cy="847725"/>
    <xdr:grpSp>
      <xdr:nvGrpSpPr>
        <xdr:cNvPr id="2" name="Shape 2"/>
        <xdr:cNvGrpSpPr/>
      </xdr:nvGrpSpPr>
      <xdr:grpSpPr>
        <a:xfrm>
          <a:off x="5022150" y="3356138"/>
          <a:ext cx="647700" cy="847725"/>
          <a:chOff x="5022150" y="3356138"/>
          <a:chExt cx="647700" cy="847725"/>
        </a:xfrm>
      </xdr:grpSpPr>
      <xdr:grpSp>
        <xdr:nvGrpSpPr>
          <xdr:cNvPr id="51" name="Shape 51"/>
          <xdr:cNvGrpSpPr/>
        </xdr:nvGrpSpPr>
        <xdr:grpSpPr>
          <a:xfrm>
            <a:off x="5022150" y="3356138"/>
            <a:ext cx="647700" cy="847725"/>
            <a:chOff x="949601" y="85725"/>
            <a:chExt cx="651841" cy="800100"/>
          </a:xfrm>
        </xdr:grpSpPr>
        <xdr:sp>
          <xdr:nvSpPr>
            <xdr:cNvPr id="16" name="Shape 16"/>
            <xdr:cNvSpPr/>
          </xdr:nvSpPr>
          <xdr:spPr>
            <a:xfrm>
              <a:off x="949601" y="85725"/>
              <a:ext cx="651825" cy="8001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52" name="Shape 52"/>
            <xdr:cNvSpPr/>
          </xdr:nvSpPr>
          <xdr:spPr>
            <a:xfrm>
              <a:off x="949601" y="142875"/>
              <a:ext cx="651841" cy="647700"/>
            </a:xfrm>
            <a:prstGeom prst="ellipse">
              <a:avLst/>
            </a:prstGeom>
            <a:solidFill>
              <a:schemeClr val="lt1"/>
            </a:solidFill>
            <a:ln cap="flat" cmpd="sng" w="12700">
              <a:solidFill>
                <a:srgbClr val="264159"/>
              </a:solidFill>
              <a:prstDash val="solid"/>
              <a:miter lim="8000"/>
              <a:headEnd len="sm" w="sm" type="none"/>
              <a:tailEnd len="sm" w="sm" type="none"/>
            </a:ln>
            <a:effectLst>
              <a:outerShdw blurRad="50800" rotWithShape="0" algn="t" dir="5400000" dist="38100">
                <a:srgbClr val="000000">
                  <a:alpha val="40000"/>
                </a:srgbClr>
              </a:outerShdw>
            </a:effectLst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pic>
          <xdr:nvPicPr>
            <xdr:cNvPr id="53" name="Shape 53"/>
            <xdr:cNvPicPr preferRelativeResize="0"/>
          </xdr:nvPicPr>
          <xdr:blipFill rotWithShape="1">
            <a:blip r:embed="rId2">
              <a:alphaModFix/>
            </a:blip>
            <a:srcRect b="23742" l="28394" r="36722" t="25960"/>
            <a:stretch/>
          </xdr:blipFill>
          <xdr:spPr>
            <a:xfrm>
              <a:off x="978175" y="85725"/>
              <a:ext cx="566116" cy="800100"/>
            </a:xfrm>
            <a:prstGeom prst="rect">
              <a:avLst/>
            </a:prstGeom>
            <a:noFill/>
            <a:ln>
              <a:noFill/>
            </a:ln>
          </xdr:spPr>
        </xdr:pic>
      </xdr:grpSp>
    </xdr:grpSp>
    <xdr:clientData fLocksWithSheet="0"/>
  </xdr:oneCellAnchor>
  <xdr:oneCellAnchor>
    <xdr:from>
      <xdr:col>5</xdr:col>
      <xdr:colOff>76200</xdr:colOff>
      <xdr:row>2</xdr:row>
      <xdr:rowOff>171450</xdr:rowOff>
    </xdr:from>
    <xdr:ext cx="2286000" cy="333375"/>
    <xdr:sp>
      <xdr:nvSpPr>
        <xdr:cNvPr id="54" name="Shape 54"/>
        <xdr:cNvSpPr txBox="1"/>
      </xdr:nvSpPr>
      <xdr:spPr>
        <a:xfrm>
          <a:off x="4207763" y="3618075"/>
          <a:ext cx="2276475" cy="323850"/>
        </a:xfrm>
        <a:prstGeom prst="rect">
          <a:avLst/>
        </a:prstGeom>
        <a:noFill/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0" lang="en-US" sz="1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Supervisor</a:t>
          </a:r>
          <a:r>
            <a:rPr b="0" lang="en-US" sz="1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de ventas</a:t>
          </a:r>
          <a:endParaRPr b="0" sz="1800">
            <a:solidFill>
              <a:schemeClr val="lt1"/>
            </a:solidFill>
          </a:endParaRPr>
        </a:p>
      </xdr:txBody>
    </xdr:sp>
    <xdr:clientData fLocksWithSheet="0"/>
  </xdr:oneCellAnchor>
  <xdr:oneCellAnchor>
    <xdr:from>
      <xdr:col>13</xdr:col>
      <xdr:colOff>57150</xdr:colOff>
      <xdr:row>20</xdr:row>
      <xdr:rowOff>180975</xdr:rowOff>
    </xdr:from>
    <xdr:ext cx="4362450" cy="1333500"/>
    <xdr:sp>
      <xdr:nvSpPr>
        <xdr:cNvPr id="55" name="Shape 55"/>
        <xdr:cNvSpPr/>
      </xdr:nvSpPr>
      <xdr:spPr>
        <a:xfrm>
          <a:off x="3169538" y="3118013"/>
          <a:ext cx="4352925" cy="1323975"/>
        </a:xfrm>
        <a:prstGeom prst="rect">
          <a:avLst/>
        </a:prstGeom>
        <a:solidFill>
          <a:srgbClr val="F2F2F2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14</xdr:col>
      <xdr:colOff>0</xdr:colOff>
      <xdr:row>20</xdr:row>
      <xdr:rowOff>19050</xdr:rowOff>
    </xdr:from>
    <xdr:ext cx="5781675" cy="342900"/>
    <xdr:sp>
      <xdr:nvSpPr>
        <xdr:cNvPr id="56" name="Shape 56"/>
        <xdr:cNvSpPr/>
      </xdr:nvSpPr>
      <xdr:spPr>
        <a:xfrm rot="10800000">
          <a:off x="2459925" y="3613313"/>
          <a:ext cx="5772150" cy="333375"/>
        </a:xfrm>
        <a:prstGeom prst="round2SameRect">
          <a:avLst>
            <a:gd fmla="val 16667" name="adj1"/>
            <a:gd fmla="val 0" name="adj2"/>
          </a:avLst>
        </a:prstGeom>
        <a:solidFill>
          <a:schemeClr val="lt1"/>
        </a:solidFill>
        <a:ln>
          <a:noFill/>
        </a:ln>
        <a:effectLst>
          <a:outerShdw blurRad="76200" kx="-1200000" rotWithShape="0" algn="bl" sy="23000">
            <a:srgbClr val="000000">
              <a:alpha val="20000"/>
            </a:srgbClr>
          </a:outerShdw>
        </a:effectLst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13</xdr:col>
      <xdr:colOff>66675</xdr:colOff>
      <xdr:row>2</xdr:row>
      <xdr:rowOff>57150</xdr:rowOff>
    </xdr:from>
    <xdr:ext cx="609600" cy="371475"/>
    <xdr:pic>
      <xdr:nvPicPr>
        <xdr:cNvPr id="0" name="image2.png"/>
        <xdr:cNvPicPr preferRelativeResize="0"/>
      </xdr:nvPicPr>
      <xdr:blipFill>
        <a:blip cstate="print" r:embed="rId3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13</xdr:col>
      <xdr:colOff>152400</xdr:colOff>
      <xdr:row>5</xdr:row>
      <xdr:rowOff>66675</xdr:rowOff>
    </xdr:from>
    <xdr:ext cx="447675" cy="466725"/>
    <xdr:pic>
      <xdr:nvPicPr>
        <xdr:cNvPr id="0" name="image3.png"/>
        <xdr:cNvPicPr preferRelativeResize="0"/>
      </xdr:nvPicPr>
      <xdr:blipFill>
        <a:blip cstate="print" r:embed="rId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11</xdr:col>
      <xdr:colOff>619125</xdr:colOff>
      <xdr:row>36</xdr:row>
      <xdr:rowOff>190500</xdr:rowOff>
    </xdr:from>
    <xdr:ext cx="1285875" cy="342900"/>
    <xdr:sp>
      <xdr:nvSpPr>
        <xdr:cNvPr id="3" name="Shape 3"/>
        <xdr:cNvSpPr/>
      </xdr:nvSpPr>
      <xdr:spPr>
        <a:xfrm>
          <a:off x="4712588" y="3613313"/>
          <a:ext cx="1266825" cy="333375"/>
        </a:xfrm>
        <a:prstGeom prst="roundRect">
          <a:avLst>
            <a:gd fmla="val 16667" name="adj"/>
          </a:avLst>
        </a:prstGeom>
        <a:solidFill>
          <a:schemeClr val="accent1"/>
        </a:solidFill>
        <a:ln cap="flat" cmpd="sng" w="12700">
          <a:solidFill>
            <a:srgbClr val="264159"/>
          </a:solidFill>
          <a:prstDash val="solid"/>
          <a:miter lim="8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Siguiente Dia</a:t>
          </a:r>
          <a:endParaRPr sz="1400"/>
        </a:p>
      </xdr:txBody>
    </xdr:sp>
    <xdr:clientData fLocksWithSheet="0"/>
  </xdr:oneCellAnchor>
  <xdr:oneCellAnchor>
    <xdr:from>
      <xdr:col>3</xdr:col>
      <xdr:colOff>342900</xdr:colOff>
      <xdr:row>0</xdr:row>
      <xdr:rowOff>0</xdr:rowOff>
    </xdr:from>
    <xdr:ext cx="323850" cy="428625"/>
    <xdr:pic>
      <xdr:nvPicPr>
        <xdr:cNvPr descr="Free Arrow Vector Clipart (PNG, SVG) to Edit Online" id="0" name="image1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showGridLines="0" workbookViewId="0"/>
  </sheetViews>
  <sheetFormatPr customHeight="1" defaultColWidth="14.43" defaultRowHeight="15.0"/>
  <cols>
    <col customWidth="1" hidden="1" min="1" max="1" width="9.14"/>
    <col customWidth="1" min="2" max="2" width="2.14"/>
    <col customWidth="1" min="3" max="3" width="2.0"/>
    <col customWidth="1" min="4" max="4" width="15.71"/>
    <col customWidth="1" min="5" max="13" width="8.86"/>
    <col customWidth="1" min="14" max="14" width="2.86"/>
    <col customWidth="1" min="15" max="15" width="8.14"/>
    <col customWidth="1" min="16" max="16" width="25.86"/>
    <col customWidth="1" min="17" max="17" width="7.43"/>
    <col customWidth="1" min="18" max="18" width="15.57"/>
    <col customWidth="1" min="19" max="19" width="12.57"/>
    <col customWidth="1" min="20" max="20" width="17.0"/>
    <col customWidth="1" min="21" max="22" width="8.86"/>
    <col customWidth="1" min="23" max="23" width="4.29"/>
    <col customWidth="1" min="24" max="24" width="20.71"/>
    <col customWidth="1" min="25" max="32" width="8.86"/>
  </cols>
  <sheetData>
    <row r="1">
      <c r="A1" s="4"/>
      <c r="B1" s="4"/>
      <c r="C1" s="4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4"/>
      <c r="Z1" s="4"/>
      <c r="AA1" s="5"/>
      <c r="AB1" s="5"/>
      <c r="AC1" s="5"/>
      <c r="AD1" s="5"/>
      <c r="AE1" s="5"/>
    </row>
    <row r="2">
      <c r="A2" s="4"/>
      <c r="B2" s="4"/>
      <c r="C2" s="4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4"/>
      <c r="Z2" s="4"/>
      <c r="AA2" s="5"/>
      <c r="AB2" s="5"/>
      <c r="AC2" s="5"/>
      <c r="AD2" s="5"/>
      <c r="AE2" s="5"/>
    </row>
    <row r="3">
      <c r="A3" s="4"/>
      <c r="B3" s="4"/>
      <c r="C3" s="4"/>
      <c r="D3" s="6"/>
      <c r="E3" s="6"/>
      <c r="F3" s="6"/>
      <c r="G3" s="6"/>
      <c r="H3" s="11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4"/>
      <c r="Z3" s="4"/>
      <c r="AA3" s="5"/>
      <c r="AB3" s="5"/>
      <c r="AC3" s="5"/>
      <c r="AD3" s="5"/>
      <c r="AE3" s="5"/>
    </row>
    <row r="4">
      <c r="A4" s="4"/>
      <c r="B4" s="4"/>
      <c r="C4" s="4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4"/>
      <c r="Z4" s="4"/>
      <c r="AA4" s="5"/>
      <c r="AB4" s="5"/>
      <c r="AC4" s="5"/>
      <c r="AD4" s="5"/>
      <c r="AE4" s="5"/>
    </row>
    <row r="5">
      <c r="A5" s="4"/>
      <c r="B5" s="4"/>
      <c r="C5" s="4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4"/>
      <c r="Z5" s="4"/>
      <c r="AA5" s="5"/>
      <c r="AB5" s="5"/>
      <c r="AC5" s="5"/>
      <c r="AD5" s="5"/>
      <c r="AE5" s="5"/>
    </row>
    <row r="6">
      <c r="A6" s="4"/>
      <c r="B6" s="4"/>
      <c r="C6" s="4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4"/>
      <c r="Z6" s="4"/>
      <c r="AA6" s="5"/>
      <c r="AB6" s="5"/>
      <c r="AC6" s="5"/>
      <c r="AD6" s="5"/>
      <c r="AE6" s="5"/>
    </row>
    <row r="7">
      <c r="A7" s="4"/>
      <c r="B7" s="4"/>
      <c r="C7" s="4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4"/>
      <c r="Z7" s="4"/>
      <c r="AA7" s="5"/>
      <c r="AB7" s="5"/>
      <c r="AC7" s="5"/>
      <c r="AD7" s="5"/>
      <c r="AE7" s="5"/>
    </row>
    <row r="8">
      <c r="A8" s="4"/>
      <c r="B8" s="4"/>
      <c r="C8" s="4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4"/>
      <c r="Z8" s="4"/>
      <c r="AA8" s="5"/>
      <c r="AB8" s="5"/>
      <c r="AC8" s="5"/>
      <c r="AD8" s="5"/>
      <c r="AE8" s="5"/>
    </row>
    <row r="9">
      <c r="A9" s="4"/>
      <c r="B9" s="4"/>
      <c r="C9" s="4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4"/>
      <c r="Z9" s="4"/>
      <c r="AA9" s="5"/>
      <c r="AB9" s="5"/>
      <c r="AC9" s="5"/>
      <c r="AD9" s="5"/>
      <c r="AE9" s="5"/>
    </row>
    <row r="10" ht="6.75" customHeight="1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5"/>
      <c r="AB10" s="5"/>
      <c r="AC10" s="5"/>
      <c r="AD10" s="5"/>
      <c r="AE10" s="5"/>
    </row>
    <row r="11" ht="22.5" customHeight="1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21"/>
      <c r="W11" s="4"/>
      <c r="X11" s="4"/>
      <c r="Y11" s="4"/>
      <c r="Z11" s="4"/>
      <c r="AA11" s="5"/>
      <c r="AB11" s="5"/>
      <c r="AC11" s="5"/>
      <c r="AD11" s="5"/>
      <c r="AE11" s="5"/>
    </row>
    <row r="1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3" t="s">
        <v>14</v>
      </c>
      <c r="P12" s="23" t="s">
        <v>15</v>
      </c>
      <c r="Q12" s="23" t="s">
        <v>16</v>
      </c>
      <c r="R12" s="23" t="s">
        <v>17</v>
      </c>
      <c r="S12" s="23" t="s">
        <v>18</v>
      </c>
      <c r="T12" s="23" t="s">
        <v>19</v>
      </c>
      <c r="U12" s="4"/>
      <c r="V12" s="24" t="s">
        <v>20</v>
      </c>
      <c r="W12" s="25"/>
      <c r="X12" s="24" t="s">
        <v>21</v>
      </c>
      <c r="Y12" s="4"/>
      <c r="Z12" s="4"/>
      <c r="AA12" s="4"/>
      <c r="AB12" s="5"/>
      <c r="AC12" s="5"/>
      <c r="AD12" s="5"/>
      <c r="AE12" s="5"/>
      <c r="AF12" s="5"/>
    </row>
    <row r="13" ht="18.75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6" t="s">
        <v>22</v>
      </c>
      <c r="P13" s="27" t="s">
        <v>23</v>
      </c>
      <c r="Q13" s="28">
        <v>1.0</v>
      </c>
      <c r="R13" s="29"/>
      <c r="S13" s="30"/>
      <c r="T13" s="31"/>
      <c r="U13" s="4"/>
      <c r="V13" s="2"/>
      <c r="W13" s="2"/>
      <c r="X13" s="28"/>
      <c r="Y13" s="4"/>
      <c r="Z13" s="4"/>
      <c r="AA13" s="4"/>
      <c r="AB13" s="5"/>
      <c r="AC13" s="5"/>
      <c r="AD13" s="5"/>
      <c r="AE13" s="5"/>
      <c r="AF13" s="5"/>
    </row>
    <row r="14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33" t="s">
        <v>24</v>
      </c>
      <c r="P14" s="34" t="s">
        <v>25</v>
      </c>
      <c r="Q14" s="35">
        <v>1.0</v>
      </c>
      <c r="R14" s="30"/>
      <c r="S14" s="30"/>
      <c r="T14" s="31"/>
      <c r="U14" s="4"/>
      <c r="V14" s="2"/>
      <c r="W14" s="2"/>
      <c r="X14" s="2"/>
      <c r="Y14" s="4"/>
      <c r="Z14" s="4"/>
      <c r="AA14" s="4"/>
      <c r="AB14" s="5"/>
      <c r="AC14" s="5"/>
      <c r="AD14" s="5"/>
      <c r="AE14" s="5"/>
      <c r="AF14" s="5"/>
    </row>
    <row r="1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33" t="s">
        <v>26</v>
      </c>
      <c r="P15" s="34" t="s">
        <v>27</v>
      </c>
      <c r="Q15" s="35">
        <v>1.0</v>
      </c>
      <c r="R15" s="30"/>
      <c r="S15" s="30"/>
      <c r="T15" s="31"/>
      <c r="U15" s="37"/>
      <c r="V15" s="2"/>
      <c r="W15" s="2"/>
      <c r="X15" s="2"/>
      <c r="Y15" s="4"/>
      <c r="Z15" s="4"/>
      <c r="AA15" s="4"/>
      <c r="AB15" s="5"/>
      <c r="AC15" s="5"/>
      <c r="AD15" s="5"/>
      <c r="AE15" s="5"/>
      <c r="AF15" s="5"/>
    </row>
    <row r="16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33" t="s">
        <v>28</v>
      </c>
      <c r="P16" s="34" t="s">
        <v>29</v>
      </c>
      <c r="Q16" s="35">
        <v>1.0</v>
      </c>
      <c r="R16" s="30"/>
      <c r="S16" s="30"/>
      <c r="T16" s="31"/>
      <c r="U16" s="4"/>
      <c r="V16" s="2"/>
      <c r="W16" s="2"/>
      <c r="X16" s="2"/>
      <c r="Y16" s="4"/>
      <c r="Z16" s="4"/>
      <c r="AA16" s="4"/>
      <c r="AB16" s="5"/>
      <c r="AC16" s="5"/>
      <c r="AD16" s="5"/>
      <c r="AE16" s="5"/>
      <c r="AF16" s="5"/>
    </row>
    <row r="17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33" t="s">
        <v>34</v>
      </c>
      <c r="P17" s="34" t="s">
        <v>35</v>
      </c>
      <c r="Q17" s="35">
        <v>0.0</v>
      </c>
      <c r="R17" s="40"/>
      <c r="S17" s="30"/>
      <c r="T17" s="31"/>
      <c r="U17" s="4"/>
      <c r="V17" s="4"/>
      <c r="W17" s="4"/>
      <c r="X17" s="4"/>
      <c r="Y17" s="4"/>
      <c r="Z17" s="4"/>
      <c r="AA17" s="4"/>
      <c r="AB17" s="5"/>
      <c r="AC17" s="5"/>
      <c r="AD17" s="5"/>
      <c r="AE17" s="5"/>
      <c r="AF17" s="5"/>
    </row>
    <row r="18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33" t="s">
        <v>37</v>
      </c>
      <c r="P18" s="34" t="s">
        <v>38</v>
      </c>
      <c r="Q18" s="35">
        <v>1.0</v>
      </c>
      <c r="R18" s="30"/>
      <c r="S18" s="30"/>
      <c r="T18" s="31"/>
      <c r="U18" s="4"/>
      <c r="V18" s="4"/>
      <c r="W18" s="4"/>
      <c r="X18" s="4"/>
      <c r="Y18" s="4"/>
      <c r="Z18" s="4"/>
      <c r="AA18" s="4"/>
      <c r="AB18" s="5"/>
      <c r="AC18" s="5"/>
      <c r="AD18" s="5"/>
      <c r="AE18" s="5"/>
      <c r="AF18" s="5"/>
    </row>
    <row r="19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33" t="s">
        <v>39</v>
      </c>
      <c r="P19" s="34" t="s">
        <v>40</v>
      </c>
      <c r="Q19" s="35">
        <v>1.0</v>
      </c>
      <c r="R19" s="30"/>
      <c r="S19" s="30"/>
      <c r="T19" s="31"/>
      <c r="U19" s="4"/>
      <c r="V19" s="4"/>
      <c r="W19" s="4"/>
      <c r="X19" s="4"/>
      <c r="Y19" s="4"/>
      <c r="Z19" s="4"/>
      <c r="AA19" s="4"/>
      <c r="AB19" s="5"/>
      <c r="AC19" s="5"/>
      <c r="AD19" s="5"/>
      <c r="AE19" s="5"/>
      <c r="AF19" s="5"/>
    </row>
    <row r="20" ht="16.5" customHeight="1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33" t="s">
        <v>41</v>
      </c>
      <c r="P20" s="34" t="s">
        <v>42</v>
      </c>
      <c r="Q20" s="35">
        <v>1.0</v>
      </c>
      <c r="R20" s="30"/>
      <c r="S20" s="30"/>
      <c r="T20" s="31"/>
      <c r="U20" s="4"/>
      <c r="V20" s="4"/>
      <c r="W20" s="4"/>
      <c r="X20" s="4"/>
      <c r="Y20" s="4"/>
      <c r="Z20" s="4"/>
      <c r="AA20" s="4"/>
      <c r="AB20" s="5"/>
      <c r="AC20" s="5"/>
      <c r="AD20" s="5"/>
      <c r="AE20" s="5"/>
      <c r="AF20" s="5"/>
    </row>
    <row r="21" ht="15.75" customHeight="1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2"/>
      <c r="P21" s="42"/>
      <c r="Q21" s="42"/>
      <c r="R21" s="42"/>
      <c r="S21" s="4"/>
      <c r="T21" s="4"/>
      <c r="U21" s="4"/>
      <c r="V21" s="4"/>
      <c r="W21" s="4"/>
      <c r="X21" s="4"/>
      <c r="Y21" s="4"/>
      <c r="Z21" s="4"/>
      <c r="AA21" s="5"/>
      <c r="AB21" s="5"/>
      <c r="AC21" s="5"/>
      <c r="AD21" s="5"/>
      <c r="AE21" s="5"/>
    </row>
    <row r="22" ht="36.0" customHeight="1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3" t="s">
        <v>43</v>
      </c>
      <c r="P22" s="44"/>
      <c r="Q22" s="44"/>
      <c r="R22" s="46">
        <f>SUM(CONTROL!$R$13:$R$20)</f>
        <v>0</v>
      </c>
      <c r="S22" s="4"/>
      <c r="T22" s="4"/>
      <c r="U22" s="4"/>
      <c r="V22" s="4"/>
      <c r="W22" s="4"/>
      <c r="X22" s="4"/>
      <c r="Y22" s="4"/>
      <c r="Z22" s="4"/>
      <c r="AA22" s="5"/>
      <c r="AB22" s="5"/>
      <c r="AC22" s="5"/>
      <c r="AD22" s="5"/>
      <c r="AE22" s="5"/>
    </row>
    <row r="23" ht="36.0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3" t="s">
        <v>45</v>
      </c>
      <c r="P23" s="44"/>
      <c r="Q23" s="44"/>
      <c r="R23" s="46">
        <f>SUMIF(CONTROL!$Q$13:$Q$20,"=1",CONTROL!$R$13:$R$20)</f>
        <v>0</v>
      </c>
      <c r="S23" s="4"/>
      <c r="T23" s="4"/>
      <c r="U23" s="4"/>
      <c r="V23" s="4"/>
      <c r="W23" s="4"/>
      <c r="X23" s="4"/>
      <c r="Y23" s="4"/>
      <c r="Z23" s="4"/>
      <c r="AA23" s="5"/>
      <c r="AB23" s="5"/>
      <c r="AC23" s="5"/>
      <c r="AD23" s="5"/>
      <c r="AE23" s="5"/>
    </row>
    <row r="24" ht="15.75" customHeight="1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5"/>
      <c r="AB24" s="5"/>
      <c r="AC24" s="5"/>
      <c r="AD24" s="5"/>
      <c r="AE24" s="5"/>
    </row>
    <row r="25" ht="15.75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5"/>
      <c r="AB25" s="5"/>
      <c r="AC25" s="5"/>
      <c r="AD25" s="5"/>
      <c r="AE25" s="5"/>
    </row>
    <row r="26" ht="15.75" customHeight="1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5"/>
      <c r="AB26" s="5"/>
      <c r="AC26" s="5"/>
      <c r="AD26" s="5"/>
      <c r="AE26" s="5"/>
    </row>
    <row r="27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5"/>
      <c r="AB27" s="5"/>
      <c r="AC27" s="5"/>
      <c r="AD27" s="5"/>
      <c r="AE27" s="5"/>
    </row>
    <row r="28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5"/>
      <c r="AB28" s="5"/>
      <c r="AC28" s="5"/>
      <c r="AD28" s="5"/>
      <c r="AE28" s="5"/>
    </row>
    <row r="29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5"/>
      <c r="AB29" s="5"/>
      <c r="AC29" s="5"/>
      <c r="AD29" s="5"/>
      <c r="AE29" s="5"/>
    </row>
    <row r="3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5"/>
      <c r="AB30" s="5"/>
      <c r="AC30" s="5"/>
      <c r="AD30" s="5"/>
      <c r="AE30" s="5"/>
    </row>
    <row r="31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5"/>
      <c r="AB31" s="5"/>
      <c r="AC31" s="5"/>
      <c r="AD31" s="5"/>
      <c r="AE31" s="5"/>
    </row>
    <row r="32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5"/>
      <c r="AB32" s="5"/>
      <c r="AC32" s="5"/>
      <c r="AD32" s="5"/>
      <c r="AE32" s="5"/>
    </row>
    <row r="33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5"/>
      <c r="AB33" s="5"/>
      <c r="AC33" s="5"/>
      <c r="AD33" s="5"/>
      <c r="AE33" s="5"/>
    </row>
    <row r="34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5"/>
      <c r="AB34" s="5"/>
      <c r="AC34" s="5"/>
      <c r="AD34" s="5"/>
      <c r="AE34" s="5"/>
    </row>
    <row r="35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5"/>
      <c r="AB35" s="5"/>
      <c r="AC35" s="5"/>
      <c r="AD35" s="5"/>
      <c r="AE35" s="5"/>
    </row>
    <row r="36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5"/>
      <c r="AB36" s="5"/>
      <c r="AC36" s="5"/>
      <c r="AD36" s="5"/>
      <c r="AE36" s="5"/>
    </row>
    <row r="37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5"/>
      <c r="AB37" s="5"/>
      <c r="AC37" s="5"/>
      <c r="AD37" s="5"/>
      <c r="AE37" s="5"/>
    </row>
    <row r="38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</row>
    <row r="39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</row>
    <row r="4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</row>
    <row r="41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</row>
    <row r="42" ht="15.75" customHeight="1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</row>
    <row r="43" ht="15.75" customHeight="1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</row>
    <row r="44" ht="15.75" customHeight="1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</row>
    <row r="45" ht="15.75" customHeight="1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</row>
    <row r="46" ht="15.75" customHeight="1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</row>
    <row r="47" ht="15.75" customHeight="1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</row>
    <row r="48" ht="15.75" customHeight="1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</row>
    <row r="49" ht="15.75" customHeight="1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T13:T20">
    <cfRule type="cellIs" dxfId="0" priority="1" operator="equal">
      <formula>0</formula>
    </cfRule>
  </conditionalFormatting>
  <conditionalFormatting sqref="X13">
    <cfRule type="cellIs" dxfId="0" priority="2" operator="equal">
      <formula>0</formula>
    </cfRule>
  </conditionalFormatting>
  <printOptions/>
  <pageMargins bottom="0.75" footer="0.0" header="0.0" left="0.7" right="0.7" top="0.7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workbookViewId="0"/>
  </sheetViews>
  <sheetFormatPr customHeight="1" defaultColWidth="14.43" defaultRowHeight="15.0"/>
  <cols>
    <col customWidth="1" min="1" max="1" width="0.86"/>
    <col customWidth="1" min="2" max="2" width="3.86"/>
    <col customWidth="1" min="3" max="3" width="14.0"/>
    <col customWidth="1" min="4" max="4" width="27.0"/>
    <col customWidth="1" min="5" max="6" width="13.14"/>
    <col customWidth="1" min="7" max="7" width="14.71"/>
    <col customWidth="1" min="8" max="10" width="13.14"/>
    <col customWidth="1" min="11" max="11" width="15.14"/>
    <col customWidth="1" min="12" max="12" width="16.57"/>
    <col customWidth="1" min="13" max="13" width="12.71"/>
    <col customWidth="1" min="14" max="14" width="15.29"/>
    <col customWidth="1" min="15" max="15" width="3.86"/>
    <col customWidth="1" min="16" max="16" width="14.71"/>
    <col customWidth="1" min="17" max="18" width="14.86"/>
    <col customWidth="1" min="19" max="19" width="16.14"/>
    <col customWidth="1" min="20" max="20" width="14.14"/>
    <col customWidth="1" min="21" max="21" width="15.43"/>
    <col customWidth="1" min="22" max="22" width="20.86"/>
    <col customWidth="1" min="23" max="23" width="16.0"/>
    <col customWidth="1" min="24" max="24" width="14.86"/>
    <col customWidth="1" min="25" max="25" width="13.29"/>
    <col customWidth="1" min="26" max="27" width="8.86"/>
  </cols>
  <sheetData>
    <row r="1" ht="18.0" customHeight="1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3"/>
      <c r="R1" s="3"/>
      <c r="S1" s="3"/>
      <c r="T1" s="3"/>
      <c r="U1" s="3"/>
      <c r="V1" s="3"/>
      <c r="W1" s="3"/>
      <c r="X1" s="3"/>
      <c r="Y1" s="3"/>
      <c r="AA1" s="3"/>
    </row>
    <row r="2" ht="18.0" customHeight="1">
      <c r="A2" s="3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AA2" s="3"/>
    </row>
    <row r="3" ht="41.25" customHeight="1">
      <c r="A3" s="3"/>
      <c r="B3" s="5"/>
      <c r="C3" s="7" t="s">
        <v>0</v>
      </c>
      <c r="D3" s="8"/>
      <c r="E3" s="9" t="s">
        <v>1</v>
      </c>
      <c r="F3" s="10"/>
      <c r="G3" s="12" t="s">
        <v>2</v>
      </c>
      <c r="H3" s="13" t="s">
        <v>3</v>
      </c>
      <c r="I3" s="14" t="s">
        <v>4</v>
      </c>
      <c r="J3" s="14" t="s">
        <v>5</v>
      </c>
      <c r="K3" s="15" t="s">
        <v>6</v>
      </c>
      <c r="L3" s="16" t="s">
        <v>7</v>
      </c>
      <c r="M3" s="14" t="s">
        <v>8</v>
      </c>
      <c r="N3" s="5"/>
      <c r="O3" s="5"/>
      <c r="P3" s="15" t="s">
        <v>9</v>
      </c>
      <c r="Q3" s="15" t="s">
        <v>10</v>
      </c>
      <c r="R3" s="15" t="s">
        <v>11</v>
      </c>
      <c r="S3" s="15" t="s">
        <v>12</v>
      </c>
      <c r="T3" s="15" t="s">
        <v>8</v>
      </c>
      <c r="U3" s="5"/>
      <c r="V3" s="5"/>
      <c r="W3" s="5"/>
      <c r="X3" s="5"/>
      <c r="Y3" s="5"/>
      <c r="AA3" s="3"/>
    </row>
    <row r="4" ht="29.25" customHeight="1">
      <c r="A4" s="3"/>
      <c r="B4" s="2"/>
      <c r="C4" s="7" t="s">
        <v>13</v>
      </c>
      <c r="D4" s="17">
        <v>0.0</v>
      </c>
      <c r="E4" s="2"/>
      <c r="G4" s="18">
        <v>46198.0</v>
      </c>
      <c r="H4" s="19">
        <f>CONTROL!R23</f>
        <v>0</v>
      </c>
      <c r="I4" s="20">
        <f>CONTROL!R22</f>
        <v>0</v>
      </c>
      <c r="J4" s="22">
        <f>M15</f>
        <v>0</v>
      </c>
      <c r="K4" s="22">
        <f>DAY(Plantilla!fecha) / DAY(EOMONTH(Plantilla!fecha, 0))</f>
        <v>0.8333333333</v>
      </c>
      <c r="L4" s="20"/>
      <c r="M4" s="20">
        <f>I4-D3</f>
        <v>0</v>
      </c>
      <c r="N4" s="2"/>
      <c r="O4" s="2"/>
      <c r="P4" s="20"/>
      <c r="Q4" s="20"/>
      <c r="R4" s="20"/>
      <c r="S4" s="20">
        <f>Q4+R4</f>
        <v>0</v>
      </c>
      <c r="T4" s="20">
        <f>-P4+S4</f>
        <v>0</v>
      </c>
      <c r="U4" s="2"/>
      <c r="V4" s="2"/>
      <c r="W4" s="2"/>
      <c r="X4" s="2"/>
      <c r="Y4" s="32"/>
      <c r="AA4" s="3"/>
    </row>
    <row r="5" ht="18.0" customHeight="1">
      <c r="A5" s="3"/>
      <c r="B5" s="2"/>
      <c r="C5" s="2"/>
      <c r="D5" s="2"/>
      <c r="E5" s="2"/>
      <c r="F5" s="2"/>
      <c r="G5" s="36"/>
      <c r="H5" s="19"/>
      <c r="I5" s="20"/>
      <c r="J5" s="22"/>
      <c r="K5" s="22"/>
      <c r="L5" s="20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32"/>
      <c r="AA5" s="3"/>
    </row>
    <row r="6" ht="30.75" customHeight="1">
      <c r="A6" s="3"/>
      <c r="B6" s="2"/>
      <c r="C6" s="2"/>
      <c r="D6" s="2"/>
      <c r="E6" s="2"/>
      <c r="F6" s="2"/>
      <c r="G6" s="36"/>
      <c r="H6" s="19"/>
      <c r="I6" s="20"/>
      <c r="J6" s="22"/>
      <c r="K6" s="22"/>
      <c r="L6" s="20"/>
      <c r="M6" s="2"/>
      <c r="N6" s="2"/>
      <c r="O6" s="2"/>
      <c r="Q6" s="38" t="s">
        <v>30</v>
      </c>
      <c r="R6" s="38" t="s">
        <v>31</v>
      </c>
      <c r="S6" s="38" t="s">
        <v>32</v>
      </c>
      <c r="T6" s="38" t="s">
        <v>33</v>
      </c>
      <c r="U6" s="2"/>
      <c r="V6" s="2"/>
      <c r="W6" s="2"/>
      <c r="X6" s="2"/>
      <c r="Y6" s="32"/>
      <c r="AA6" s="3"/>
    </row>
    <row r="7" ht="34.5" customHeight="1">
      <c r="A7" s="3"/>
      <c r="B7" s="2"/>
      <c r="C7" s="2"/>
      <c r="D7" s="39" t="s">
        <v>36</v>
      </c>
      <c r="E7" s="41">
        <f>IFERROR(E13/CONTROL!$X$13*(5),0)</f>
        <v>0</v>
      </c>
      <c r="F7" s="41">
        <f>IFERROR(F13/CONTROL!$X$13*(5),0)</f>
        <v>0</v>
      </c>
      <c r="G7" s="41">
        <f>IFERROR(G13/CONTROL!$X$13*(5),0)</f>
        <v>0</v>
      </c>
      <c r="H7" s="41">
        <f>IFERROR(H13/CONTROL!$X$13*(5),0)</f>
        <v>0</v>
      </c>
      <c r="I7" s="41">
        <f>IFERROR(I13/CONTROL!$X$13*(5),0)</f>
        <v>0</v>
      </c>
      <c r="J7" s="41">
        <f>IFERROR(J13/CONTROL!$X$13*(5),0)</f>
        <v>0</v>
      </c>
      <c r="K7" s="41">
        <f>IFERROR(K13/CONTROL!$X$13*(5),0)</f>
        <v>0</v>
      </c>
      <c r="L7" s="41">
        <f>IFERROR(L13/CONTROL!$X$13*(5),0)</f>
        <v>0</v>
      </c>
      <c r="M7" s="45">
        <f t="shared" ref="M7:M9" si="2">SUM(E7:L7)</f>
        <v>0</v>
      </c>
      <c r="N7" s="2"/>
      <c r="O7" s="2"/>
      <c r="P7" s="47" t="s">
        <v>44</v>
      </c>
      <c r="Q7" s="48">
        <f>M33</f>
        <v>0</v>
      </c>
      <c r="R7" s="49"/>
      <c r="S7" s="49">
        <f t="shared" ref="S7:S8" si="3">Q7+R7</f>
        <v>0</v>
      </c>
      <c r="T7" s="50">
        <f>S7*11.35</f>
        <v>0</v>
      </c>
      <c r="U7" s="2"/>
      <c r="V7" s="2"/>
      <c r="W7" s="2"/>
      <c r="X7" s="2"/>
      <c r="Y7" s="32"/>
      <c r="AA7" s="3"/>
    </row>
    <row r="8" ht="33.75" customHeight="1">
      <c r="A8" s="3"/>
      <c r="B8" s="2"/>
      <c r="C8" s="2"/>
      <c r="D8" s="51" t="s">
        <v>46</v>
      </c>
      <c r="E8" s="52">
        <f t="shared" ref="E8:L8" si="1">IFERROR(E7/11.352,0)</f>
        <v>0</v>
      </c>
      <c r="F8" s="52">
        <f t="shared" si="1"/>
        <v>0</v>
      </c>
      <c r="G8" s="52">
        <f t="shared" si="1"/>
        <v>0</v>
      </c>
      <c r="H8" s="52">
        <f t="shared" si="1"/>
        <v>0</v>
      </c>
      <c r="I8" s="52">
        <f t="shared" si="1"/>
        <v>0</v>
      </c>
      <c r="J8" s="52">
        <f t="shared" si="1"/>
        <v>0</v>
      </c>
      <c r="K8" s="52">
        <f t="shared" si="1"/>
        <v>0</v>
      </c>
      <c r="L8" s="52">
        <f t="shared" si="1"/>
        <v>0</v>
      </c>
      <c r="M8" s="53">
        <f t="shared" si="2"/>
        <v>0</v>
      </c>
      <c r="N8" s="2"/>
      <c r="O8" s="2"/>
      <c r="P8" s="47" t="s">
        <v>9</v>
      </c>
      <c r="Q8" s="54"/>
      <c r="R8" s="55"/>
      <c r="S8" s="56">
        <f t="shared" si="3"/>
        <v>0</v>
      </c>
      <c r="T8" s="57">
        <f>S8*11.352</f>
        <v>0</v>
      </c>
      <c r="U8" s="58" t="s">
        <v>47</v>
      </c>
      <c r="V8" s="2"/>
      <c r="W8" s="2"/>
      <c r="X8" s="2"/>
      <c r="Y8" s="32"/>
      <c r="AA8" s="3"/>
    </row>
    <row r="9" ht="22.5" customHeight="1">
      <c r="A9" s="3"/>
      <c r="B9" s="2"/>
      <c r="C9" s="2"/>
      <c r="D9" s="59" t="s">
        <v>48</v>
      </c>
      <c r="E9" s="60">
        <f t="shared" ref="E9:L9" si="4">IFERROR(E8/5,0)</f>
        <v>0</v>
      </c>
      <c r="F9" s="60">
        <f t="shared" si="4"/>
        <v>0</v>
      </c>
      <c r="G9" s="60">
        <f t="shared" si="4"/>
        <v>0</v>
      </c>
      <c r="H9" s="60">
        <f t="shared" si="4"/>
        <v>0</v>
      </c>
      <c r="I9" s="60">
        <f t="shared" si="4"/>
        <v>0</v>
      </c>
      <c r="J9" s="60">
        <f t="shared" si="4"/>
        <v>0</v>
      </c>
      <c r="K9" s="60">
        <f t="shared" si="4"/>
        <v>0</v>
      </c>
      <c r="L9" s="60">
        <f t="shared" si="4"/>
        <v>0</v>
      </c>
      <c r="M9" s="61">
        <f t="shared" si="2"/>
        <v>0</v>
      </c>
      <c r="N9" s="2"/>
      <c r="O9" s="2"/>
      <c r="P9" s="47" t="s">
        <v>49</v>
      </c>
      <c r="Q9" s="62"/>
      <c r="R9" s="63"/>
      <c r="S9" s="64" t="s">
        <v>50</v>
      </c>
      <c r="T9" s="65">
        <f>T7+T8</f>
        <v>0</v>
      </c>
      <c r="U9" s="66">
        <f>D3+T9+Q4</f>
        <v>0</v>
      </c>
      <c r="V9" s="2"/>
      <c r="W9" s="2"/>
      <c r="X9" s="2"/>
      <c r="Y9" s="32"/>
      <c r="AA9" s="3"/>
    </row>
    <row r="10" ht="14.25" customHeight="1">
      <c r="A10" s="3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67"/>
      <c r="AA10" s="3"/>
    </row>
    <row r="11" ht="12.75" customHeight="1">
      <c r="A11" s="3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68" t="s">
        <v>51</v>
      </c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67"/>
      <c r="AA11" s="3"/>
    </row>
    <row r="12" ht="15.0" hidden="1" customHeight="1">
      <c r="A12" s="3"/>
      <c r="B12" s="2"/>
      <c r="C12" s="2"/>
      <c r="D12" s="2"/>
      <c r="E12" s="2"/>
      <c r="F12" s="2"/>
      <c r="G12" s="2"/>
      <c r="N12" s="2"/>
      <c r="O12" s="2"/>
      <c r="P12" s="2"/>
      <c r="Q12" s="3"/>
      <c r="R12" s="3"/>
      <c r="S12" s="69"/>
      <c r="T12" s="3"/>
      <c r="U12" s="3"/>
      <c r="V12" s="3"/>
      <c r="W12" s="3"/>
      <c r="Y12" s="2"/>
      <c r="Z12" s="67"/>
      <c r="AA12" s="3"/>
    </row>
    <row r="13" ht="32.25" customHeight="1">
      <c r="A13" s="3"/>
      <c r="B13" s="2"/>
      <c r="C13" s="2"/>
      <c r="D13" s="70" t="s">
        <v>52</v>
      </c>
      <c r="E13" s="71" t="str">
        <f t="array" ref="E13">_xlfn.XLOOKUP(Plantilla!$E$14,CONTROL!$O$13:$O$20,CONTROL!$R$13:$R$20)</f>
        <v/>
      </c>
      <c r="F13" s="71" t="str">
        <f t="array" ref="F13">_xlfn.XLOOKUP(Plantilla!$F$14,CONTROL!$O$13:$O$20,CONTROL!$R$13:$R$20)</f>
        <v/>
      </c>
      <c r="G13" s="71" t="str">
        <f t="array" ref="G13">_xlfn.XLOOKUP(Plantilla!$G$14,CONTROL!$O$13:$O$20,CONTROL!$R$13:$R$20)</f>
        <v/>
      </c>
      <c r="H13" s="71" t="str">
        <f t="array" ref="H13">_xlfn.XLOOKUP(Plantilla!$H$14,CONTROL!$O$13:$O$20,CONTROL!$R$13:$R$20)</f>
        <v/>
      </c>
      <c r="I13" s="71" t="str">
        <f t="array" ref="I13">_xlfn.XLOOKUP(Plantilla!$I$14,CONTROL!$O$13:$O$20,CONTROL!$R$13:$R$20)</f>
        <v/>
      </c>
      <c r="J13" s="71" t="str">
        <f t="array" ref="J13">_xlfn.XLOOKUP(Plantilla!$J$14,CONTROL!$O$13:$O$20,CONTROL!$R$13:$R$20)</f>
        <v/>
      </c>
      <c r="K13" s="71" t="str">
        <f t="array" ref="K13">_xlfn.XLOOKUP(Plantilla!$K$14,CONTROL!$O$13:$O$20,CONTROL!$R$13:$R$20)</f>
        <v/>
      </c>
      <c r="L13" s="71" t="str">
        <f t="array" ref="L13">_xlfn.XLOOKUP(Plantilla!$L$14,CONTROL!$O$13:$O$20,CONTROL!$R$13:$R$20)</f>
        <v/>
      </c>
      <c r="M13" s="72">
        <f>SUM(E13:L13)</f>
        <v>0</v>
      </c>
      <c r="N13" s="2"/>
      <c r="O13" s="2"/>
      <c r="P13" s="73" t="s">
        <v>14</v>
      </c>
      <c r="Q13" s="74" t="s">
        <v>53</v>
      </c>
      <c r="R13" s="74" t="s">
        <v>54</v>
      </c>
      <c r="S13" s="74" t="s">
        <v>55</v>
      </c>
      <c r="T13" s="74" t="s">
        <v>56</v>
      </c>
      <c r="U13" s="74" t="s">
        <v>57</v>
      </c>
      <c r="V13" s="74" t="s">
        <v>58</v>
      </c>
      <c r="W13" s="75" t="s">
        <v>59</v>
      </c>
      <c r="X13" s="76" t="s">
        <v>60</v>
      </c>
      <c r="Y13" s="2"/>
      <c r="Z13" s="67"/>
      <c r="AA13" s="3"/>
    </row>
    <row r="14" ht="18.0" customHeight="1">
      <c r="A14" s="3"/>
      <c r="B14" s="2"/>
      <c r="C14" s="2"/>
      <c r="D14" s="77" t="s">
        <v>61</v>
      </c>
      <c r="E14" s="78" t="s">
        <v>22</v>
      </c>
      <c r="F14" s="78" t="s">
        <v>24</v>
      </c>
      <c r="G14" s="78" t="s">
        <v>26</v>
      </c>
      <c r="H14" s="78" t="s">
        <v>37</v>
      </c>
      <c r="I14" s="78" t="s">
        <v>39</v>
      </c>
      <c r="J14" s="78" t="s">
        <v>41</v>
      </c>
      <c r="K14" s="78" t="s">
        <v>28</v>
      </c>
      <c r="L14" s="78" t="s">
        <v>34</v>
      </c>
      <c r="M14" s="79" t="s">
        <v>62</v>
      </c>
      <c r="N14" s="2"/>
      <c r="O14" s="2"/>
      <c r="P14" s="80">
        <v>1.0</v>
      </c>
      <c r="Q14" s="81"/>
      <c r="R14" s="81"/>
      <c r="S14" s="82"/>
      <c r="T14" s="83"/>
      <c r="U14" s="83"/>
      <c r="V14" s="83"/>
      <c r="W14" s="84">
        <f t="shared" ref="W14:W25" si="5">Q14-S14-T14-U14-V14-R14</f>
        <v>0</v>
      </c>
      <c r="X14" s="85">
        <f t="shared" ref="X14:X25" si="6">IFERROR((S14+T14+U14+R14+V14)/Q14,0)</f>
        <v>0</v>
      </c>
      <c r="Y14" s="2"/>
      <c r="Z14" s="67"/>
      <c r="AA14" s="3"/>
    </row>
    <row r="15" ht="18.0" customHeight="1">
      <c r="A15" s="3"/>
      <c r="B15" s="2"/>
      <c r="C15" s="2"/>
      <c r="D15" s="86" t="s">
        <v>63</v>
      </c>
      <c r="E15" s="87">
        <f>U31</f>
        <v>0</v>
      </c>
      <c r="F15" s="87">
        <f>U32</f>
        <v>0</v>
      </c>
      <c r="G15" s="87">
        <f>U33</f>
        <v>0</v>
      </c>
      <c r="H15" s="87">
        <f>U35</f>
        <v>0</v>
      </c>
      <c r="I15" s="87">
        <f>U36</f>
        <v>0</v>
      </c>
      <c r="J15" s="87">
        <f>U37</f>
        <v>0</v>
      </c>
      <c r="K15" s="87">
        <f>U32</f>
        <v>0</v>
      </c>
      <c r="L15" s="87">
        <f>U41</f>
        <v>0</v>
      </c>
      <c r="M15" s="87">
        <f>SUM(E15:L15)</f>
        <v>0</v>
      </c>
      <c r="N15" s="2"/>
      <c r="O15" s="2"/>
      <c r="P15" s="88">
        <v>7.0</v>
      </c>
      <c r="Q15" s="89"/>
      <c r="R15" s="89"/>
      <c r="S15" s="90"/>
      <c r="T15" s="91"/>
      <c r="U15" s="91"/>
      <c r="V15" s="91"/>
      <c r="W15" s="84">
        <f t="shared" si="5"/>
        <v>0</v>
      </c>
      <c r="X15" s="85">
        <f t="shared" si="6"/>
        <v>0</v>
      </c>
      <c r="Y15" s="2"/>
      <c r="Z15" s="67"/>
      <c r="AA15" s="3"/>
    </row>
    <row r="16" ht="18.0" customHeight="1">
      <c r="A16" s="3"/>
      <c r="B16" s="2"/>
      <c r="C16" s="92" t="s">
        <v>64</v>
      </c>
      <c r="D16" s="93" t="s">
        <v>65</v>
      </c>
      <c r="E16" s="94"/>
      <c r="F16" s="94"/>
      <c r="G16" s="94"/>
      <c r="H16" s="94"/>
      <c r="I16" s="94"/>
      <c r="J16" s="94"/>
      <c r="K16" s="94"/>
      <c r="L16" s="94"/>
      <c r="M16" s="95">
        <f>SUM(E16:K16)</f>
        <v>0</v>
      </c>
      <c r="N16" s="2"/>
      <c r="O16" s="2"/>
      <c r="P16" s="88">
        <v>10.0</v>
      </c>
      <c r="Q16" s="89"/>
      <c r="R16" s="89"/>
      <c r="S16" s="90"/>
      <c r="T16" s="91"/>
      <c r="U16" s="91"/>
      <c r="V16" s="91"/>
      <c r="W16" s="84">
        <f t="shared" si="5"/>
        <v>0</v>
      </c>
      <c r="X16" s="85">
        <f t="shared" si="6"/>
        <v>0</v>
      </c>
      <c r="Y16" s="2"/>
      <c r="Z16" s="67"/>
      <c r="AA16" s="3"/>
    </row>
    <row r="17" ht="18.0" customHeight="1">
      <c r="A17" s="3"/>
      <c r="B17" s="2"/>
      <c r="C17" s="96"/>
      <c r="D17" s="97" t="s">
        <v>66</v>
      </c>
      <c r="E17" s="98"/>
      <c r="F17" s="98"/>
      <c r="G17" s="98"/>
      <c r="H17" s="98"/>
      <c r="I17" s="98"/>
      <c r="J17" s="98"/>
      <c r="K17" s="98"/>
      <c r="L17" s="98"/>
      <c r="M17" s="99">
        <f>SUM(E17:L17)</f>
        <v>0</v>
      </c>
      <c r="N17" s="2"/>
      <c r="O17" s="2"/>
      <c r="P17" s="88">
        <v>12.0</v>
      </c>
      <c r="Q17" s="89"/>
      <c r="R17" s="89"/>
      <c r="S17" s="90"/>
      <c r="T17" s="91"/>
      <c r="U17" s="91"/>
      <c r="V17" s="91"/>
      <c r="W17" s="84">
        <f t="shared" si="5"/>
        <v>0</v>
      </c>
      <c r="X17" s="85">
        <f t="shared" si="6"/>
        <v>0</v>
      </c>
      <c r="Y17" s="2"/>
      <c r="Z17" s="67"/>
      <c r="AA17" s="3"/>
    </row>
    <row r="18" ht="18.0" customHeight="1">
      <c r="A18" s="3"/>
      <c r="B18" s="2"/>
      <c r="C18" s="96"/>
      <c r="D18" s="97" t="s">
        <v>67</v>
      </c>
      <c r="E18" s="100">
        <f t="shared" ref="E18:M18" si="7">IFERROR(E17/E16,0)</f>
        <v>0</v>
      </c>
      <c r="F18" s="100">
        <f t="shared" si="7"/>
        <v>0</v>
      </c>
      <c r="G18" s="100">
        <f t="shared" si="7"/>
        <v>0</v>
      </c>
      <c r="H18" s="100">
        <f t="shared" si="7"/>
        <v>0</v>
      </c>
      <c r="I18" s="100">
        <f t="shared" si="7"/>
        <v>0</v>
      </c>
      <c r="J18" s="100">
        <f t="shared" si="7"/>
        <v>0</v>
      </c>
      <c r="K18" s="100">
        <f t="shared" si="7"/>
        <v>0</v>
      </c>
      <c r="L18" s="100">
        <f t="shared" si="7"/>
        <v>0</v>
      </c>
      <c r="M18" s="101">
        <f t="shared" si="7"/>
        <v>0</v>
      </c>
      <c r="N18" s="2"/>
      <c r="O18" s="2"/>
      <c r="P18" s="88">
        <v>15.0</v>
      </c>
      <c r="Q18" s="89"/>
      <c r="R18" s="89"/>
      <c r="S18" s="90"/>
      <c r="T18" s="91"/>
      <c r="U18" s="91"/>
      <c r="V18" s="91"/>
      <c r="W18" s="84">
        <f t="shared" si="5"/>
        <v>0</v>
      </c>
      <c r="X18" s="85">
        <f t="shared" si="6"/>
        <v>0</v>
      </c>
      <c r="Y18" s="2"/>
      <c r="Z18" s="67"/>
      <c r="AA18" s="3"/>
    </row>
    <row r="19" ht="18.0" customHeight="1">
      <c r="A19" s="3"/>
      <c r="B19" s="2"/>
      <c r="C19" s="96"/>
      <c r="D19" s="97" t="s">
        <v>68</v>
      </c>
      <c r="E19" s="102"/>
      <c r="F19" s="102"/>
      <c r="G19" s="102"/>
      <c r="H19" s="102"/>
      <c r="I19" s="102"/>
      <c r="J19" s="102"/>
      <c r="K19" s="102"/>
      <c r="L19" s="102"/>
      <c r="M19" s="103">
        <f t="shared" ref="M19:M20" si="8">SUM(E19:L19)</f>
        <v>0</v>
      </c>
      <c r="N19" s="2"/>
      <c r="O19" s="2"/>
      <c r="P19" s="88">
        <v>17.0</v>
      </c>
      <c r="Q19" s="89"/>
      <c r="R19" s="89"/>
      <c r="S19" s="90"/>
      <c r="T19" s="91"/>
      <c r="U19" s="91"/>
      <c r="V19" s="91"/>
      <c r="W19" s="84">
        <f t="shared" si="5"/>
        <v>0</v>
      </c>
      <c r="X19" s="85">
        <f t="shared" si="6"/>
        <v>0</v>
      </c>
      <c r="Y19" s="2"/>
      <c r="Z19" s="67"/>
      <c r="AA19" s="3"/>
    </row>
    <row r="20" ht="18.0" customHeight="1">
      <c r="A20" s="3"/>
      <c r="B20" s="2"/>
      <c r="C20" s="96"/>
      <c r="D20" s="97" t="s">
        <v>69</v>
      </c>
      <c r="E20" s="98"/>
      <c r="F20" s="98"/>
      <c r="G20" s="98"/>
      <c r="H20" s="98"/>
      <c r="I20" s="98"/>
      <c r="J20" s="98"/>
      <c r="K20" s="98"/>
      <c r="L20" s="98"/>
      <c r="M20" s="99">
        <f t="shared" si="8"/>
        <v>0</v>
      </c>
      <c r="N20" s="2"/>
      <c r="O20" s="2"/>
      <c r="P20" s="88">
        <v>21.0</v>
      </c>
      <c r="Q20" s="89"/>
      <c r="R20" s="89"/>
      <c r="S20" s="90"/>
      <c r="T20" s="91"/>
      <c r="U20" s="91"/>
      <c r="V20" s="91"/>
      <c r="W20" s="84">
        <f t="shared" si="5"/>
        <v>0</v>
      </c>
      <c r="X20" s="85">
        <f t="shared" si="6"/>
        <v>0</v>
      </c>
      <c r="Y20" s="2"/>
      <c r="Z20" s="67"/>
      <c r="AA20" s="3"/>
    </row>
    <row r="21" ht="18.0" customHeight="1">
      <c r="A21" s="3"/>
      <c r="B21" s="2"/>
      <c r="C21" s="96"/>
      <c r="D21" s="97" t="s">
        <v>67</v>
      </c>
      <c r="E21" s="100">
        <f t="shared" ref="E21:M21" si="9">IFERROR(E20/E19,0)</f>
        <v>0</v>
      </c>
      <c r="F21" s="100">
        <f t="shared" si="9"/>
        <v>0</v>
      </c>
      <c r="G21" s="100">
        <f t="shared" si="9"/>
        <v>0</v>
      </c>
      <c r="H21" s="100">
        <f t="shared" si="9"/>
        <v>0</v>
      </c>
      <c r="I21" s="100">
        <f t="shared" si="9"/>
        <v>0</v>
      </c>
      <c r="J21" s="100">
        <f t="shared" si="9"/>
        <v>0</v>
      </c>
      <c r="K21" s="100">
        <f t="shared" si="9"/>
        <v>0</v>
      </c>
      <c r="L21" s="100">
        <f t="shared" si="9"/>
        <v>0</v>
      </c>
      <c r="M21" s="101">
        <f t="shared" si="9"/>
        <v>0</v>
      </c>
      <c r="N21" s="2"/>
      <c r="O21" s="2"/>
      <c r="P21" s="88">
        <v>26.0</v>
      </c>
      <c r="Q21" s="89"/>
      <c r="R21" s="89"/>
      <c r="S21" s="90"/>
      <c r="T21" s="91"/>
      <c r="U21" s="91"/>
      <c r="V21" s="91"/>
      <c r="W21" s="84">
        <f t="shared" si="5"/>
        <v>0</v>
      </c>
      <c r="X21" s="85">
        <f t="shared" si="6"/>
        <v>0</v>
      </c>
      <c r="Y21" s="2"/>
      <c r="Z21" s="67"/>
      <c r="AA21" s="3"/>
    </row>
    <row r="22" ht="18.0" customHeight="1">
      <c r="A22" s="3"/>
      <c r="B22" s="2"/>
      <c r="C22" s="96"/>
      <c r="D22" s="97" t="s">
        <v>70</v>
      </c>
      <c r="E22" s="104"/>
      <c r="F22" s="104"/>
      <c r="G22" s="104"/>
      <c r="H22" s="104"/>
      <c r="I22" s="104"/>
      <c r="J22" s="104"/>
      <c r="K22" s="104"/>
      <c r="L22" s="104"/>
      <c r="M22" s="105">
        <f t="shared" ref="M22:M23" si="10">SUM(E22:L22)</f>
        <v>0</v>
      </c>
      <c r="N22" s="2"/>
      <c r="O22" s="2"/>
      <c r="P22" s="88">
        <v>30.0</v>
      </c>
      <c r="Q22" s="89"/>
      <c r="R22" s="89"/>
      <c r="S22" s="90"/>
      <c r="T22" s="91"/>
      <c r="U22" s="91"/>
      <c r="V22" s="91"/>
      <c r="W22" s="84">
        <f t="shared" si="5"/>
        <v>0</v>
      </c>
      <c r="X22" s="85">
        <f t="shared" si="6"/>
        <v>0</v>
      </c>
      <c r="Y22" s="2"/>
      <c r="Z22" s="67"/>
      <c r="AA22" s="3"/>
    </row>
    <row r="23" ht="18.0" customHeight="1">
      <c r="A23" s="3"/>
      <c r="B23" s="2"/>
      <c r="C23" s="96"/>
      <c r="D23" s="97" t="s">
        <v>71</v>
      </c>
      <c r="E23" s="106"/>
      <c r="F23" s="106"/>
      <c r="G23" s="106"/>
      <c r="H23" s="106"/>
      <c r="I23" s="106"/>
      <c r="J23" s="106"/>
      <c r="K23" s="106"/>
      <c r="L23" s="106"/>
      <c r="M23" s="107">
        <f t="shared" si="10"/>
        <v>0</v>
      </c>
      <c r="N23" s="2"/>
      <c r="O23" s="2"/>
      <c r="P23" s="88">
        <v>33.0</v>
      </c>
      <c r="Q23" s="89"/>
      <c r="R23" s="89"/>
      <c r="S23" s="90"/>
      <c r="T23" s="91"/>
      <c r="U23" s="91"/>
      <c r="V23" s="91"/>
      <c r="W23" s="84">
        <f t="shared" si="5"/>
        <v>0</v>
      </c>
      <c r="X23" s="85">
        <f t="shared" si="6"/>
        <v>0</v>
      </c>
      <c r="Y23" s="2"/>
      <c r="Z23" s="67"/>
      <c r="AA23" s="3"/>
    </row>
    <row r="24" ht="18.0" customHeight="1">
      <c r="A24" s="3"/>
      <c r="B24" s="2"/>
      <c r="C24" s="96"/>
      <c r="D24" s="97" t="s">
        <v>67</v>
      </c>
      <c r="E24" s="100">
        <f t="shared" ref="E24:M24" si="11">IFERROR(E23/E22,0)</f>
        <v>0</v>
      </c>
      <c r="F24" s="100">
        <f t="shared" si="11"/>
        <v>0</v>
      </c>
      <c r="G24" s="100">
        <f t="shared" si="11"/>
        <v>0</v>
      </c>
      <c r="H24" s="100">
        <f t="shared" si="11"/>
        <v>0</v>
      </c>
      <c r="I24" s="100">
        <f t="shared" si="11"/>
        <v>0</v>
      </c>
      <c r="J24" s="100">
        <f t="shared" si="11"/>
        <v>0</v>
      </c>
      <c r="K24" s="100">
        <f t="shared" si="11"/>
        <v>0</v>
      </c>
      <c r="L24" s="100">
        <f t="shared" si="11"/>
        <v>0</v>
      </c>
      <c r="M24" s="101">
        <f t="shared" si="11"/>
        <v>0</v>
      </c>
      <c r="N24" s="2"/>
      <c r="O24" s="2"/>
      <c r="P24" s="88">
        <v>32.0</v>
      </c>
      <c r="Q24" s="89"/>
      <c r="R24" s="89"/>
      <c r="S24" s="90"/>
      <c r="T24" s="91"/>
      <c r="U24" s="91"/>
      <c r="V24" s="91"/>
      <c r="W24" s="84">
        <f t="shared" si="5"/>
        <v>0</v>
      </c>
      <c r="X24" s="85">
        <f t="shared" si="6"/>
        <v>0</v>
      </c>
      <c r="Y24" s="2"/>
      <c r="Z24" s="67"/>
      <c r="AA24" s="3"/>
    </row>
    <row r="25" ht="18.0" customHeight="1">
      <c r="A25" s="3"/>
      <c r="B25" s="2"/>
      <c r="C25" s="96"/>
      <c r="D25" s="108" t="s">
        <v>72</v>
      </c>
      <c r="E25" s="104"/>
      <c r="F25" s="104"/>
      <c r="G25" s="104"/>
      <c r="H25" s="104"/>
      <c r="I25" s="104"/>
      <c r="J25" s="104"/>
      <c r="K25" s="104"/>
      <c r="L25" s="104"/>
      <c r="M25" s="105">
        <f t="shared" ref="M25:M26" si="12">SUM(E25:L25)</f>
        <v>0</v>
      </c>
      <c r="N25" s="2"/>
      <c r="O25" s="2"/>
      <c r="P25" s="109">
        <v>39.0</v>
      </c>
      <c r="Q25" s="110"/>
      <c r="R25" s="110"/>
      <c r="S25" s="111"/>
      <c r="T25" s="112"/>
      <c r="U25" s="112"/>
      <c r="V25" s="112"/>
      <c r="W25" s="84">
        <f t="shared" si="5"/>
        <v>0</v>
      </c>
      <c r="X25" s="85">
        <f t="shared" si="6"/>
        <v>0</v>
      </c>
      <c r="Y25" s="2"/>
      <c r="Z25" s="67"/>
      <c r="AA25" s="3"/>
    </row>
    <row r="26" ht="20.25" customHeight="1">
      <c r="A26" s="3"/>
      <c r="B26" s="2"/>
      <c r="C26" s="96"/>
      <c r="D26" s="108" t="s">
        <v>73</v>
      </c>
      <c r="E26" s="106"/>
      <c r="F26" s="106"/>
      <c r="G26" s="106"/>
      <c r="H26" s="106"/>
      <c r="I26" s="106"/>
      <c r="J26" s="106"/>
      <c r="K26" s="106"/>
      <c r="L26" s="106"/>
      <c r="M26" s="107">
        <f t="shared" si="12"/>
        <v>0</v>
      </c>
      <c r="N26" s="2"/>
      <c r="O26" s="2"/>
      <c r="P26" s="113" t="s">
        <v>74</v>
      </c>
      <c r="Q26" s="114">
        <f t="shared" ref="Q26:X26" si="13">SUM(Q14:Q25)</f>
        <v>0</v>
      </c>
      <c r="R26" s="114">
        <f t="shared" si="13"/>
        <v>0</v>
      </c>
      <c r="S26" s="114">
        <f t="shared" si="13"/>
        <v>0</v>
      </c>
      <c r="T26" s="114">
        <f t="shared" si="13"/>
        <v>0</v>
      </c>
      <c r="U26" s="114">
        <f t="shared" si="13"/>
        <v>0</v>
      </c>
      <c r="V26" s="114">
        <f t="shared" si="13"/>
        <v>0</v>
      </c>
      <c r="W26" s="114">
        <f t="shared" si="13"/>
        <v>0</v>
      </c>
      <c r="X26" s="115">
        <f t="shared" si="13"/>
        <v>0</v>
      </c>
      <c r="Y26" s="2"/>
      <c r="Z26" s="67"/>
      <c r="AA26" s="3"/>
    </row>
    <row r="27" ht="18.0" customHeight="1">
      <c r="A27" s="3"/>
      <c r="B27" s="2"/>
      <c r="C27" s="96"/>
      <c r="D27" s="108" t="s">
        <v>67</v>
      </c>
      <c r="E27" s="100">
        <f t="shared" ref="E27:M27" si="14">IFERROR(E26/E25,0)</f>
        <v>0</v>
      </c>
      <c r="F27" s="100">
        <f t="shared" si="14"/>
        <v>0</v>
      </c>
      <c r="G27" s="100">
        <f t="shared" si="14"/>
        <v>0</v>
      </c>
      <c r="H27" s="100">
        <f t="shared" si="14"/>
        <v>0</v>
      </c>
      <c r="I27" s="100">
        <f t="shared" si="14"/>
        <v>0</v>
      </c>
      <c r="J27" s="100">
        <f t="shared" si="14"/>
        <v>0</v>
      </c>
      <c r="K27" s="100">
        <f t="shared" si="14"/>
        <v>0</v>
      </c>
      <c r="L27" s="100">
        <f t="shared" si="14"/>
        <v>0</v>
      </c>
      <c r="M27" s="101">
        <f t="shared" si="14"/>
        <v>0</v>
      </c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67"/>
      <c r="AA27" s="3"/>
    </row>
    <row r="28" ht="24.0" customHeight="1">
      <c r="A28" s="3"/>
      <c r="B28" s="2"/>
      <c r="C28" s="96"/>
      <c r="D28" s="116" t="s">
        <v>72</v>
      </c>
      <c r="E28" s="104"/>
      <c r="F28" s="104"/>
      <c r="G28" s="104"/>
      <c r="H28" s="104"/>
      <c r="I28" s="104"/>
      <c r="J28" s="104"/>
      <c r="K28" s="104"/>
      <c r="L28" s="104"/>
      <c r="M28" s="105">
        <f t="shared" ref="M28:M29" si="15">SUM(E28:L28)</f>
        <v>0</v>
      </c>
      <c r="N28" s="2"/>
      <c r="O28" s="2"/>
      <c r="P28" s="117" t="s">
        <v>75</v>
      </c>
      <c r="Q28" s="118"/>
      <c r="R28" s="119"/>
      <c r="S28" s="2"/>
      <c r="T28" s="2"/>
      <c r="U28" s="2"/>
      <c r="V28" s="2"/>
      <c r="W28" s="2"/>
      <c r="X28" s="2"/>
      <c r="Y28" s="2"/>
      <c r="Z28" s="67"/>
      <c r="AA28" s="3"/>
    </row>
    <row r="29" ht="18.0" customHeight="1">
      <c r="A29" s="3"/>
      <c r="B29" s="2"/>
      <c r="C29" s="96"/>
      <c r="D29" s="116" t="s">
        <v>73</v>
      </c>
      <c r="E29" s="106"/>
      <c r="F29" s="106"/>
      <c r="G29" s="106"/>
      <c r="H29" s="106"/>
      <c r="I29" s="106"/>
      <c r="J29" s="106"/>
      <c r="K29" s="106"/>
      <c r="L29" s="106"/>
      <c r="M29" s="107">
        <f t="shared" si="15"/>
        <v>0</v>
      </c>
      <c r="N29" s="2"/>
      <c r="O29" s="2"/>
      <c r="P29" s="120" t="s">
        <v>76</v>
      </c>
      <c r="Q29" s="121"/>
      <c r="R29" s="121"/>
      <c r="S29" s="122"/>
      <c r="T29" s="122"/>
      <c r="U29" s="123"/>
      <c r="V29" s="123"/>
      <c r="W29" s="124"/>
      <c r="X29" s="2"/>
      <c r="Y29" s="2"/>
      <c r="Z29" s="67"/>
      <c r="AA29" s="3"/>
    </row>
    <row r="30" ht="18.0" customHeight="1">
      <c r="A30" s="3"/>
      <c r="B30" s="2"/>
      <c r="C30" s="96"/>
      <c r="D30" s="116" t="s">
        <v>67</v>
      </c>
      <c r="E30" s="100">
        <f t="shared" ref="E30:M30" si="16">IFERROR(E29/E28,0)</f>
        <v>0</v>
      </c>
      <c r="F30" s="100">
        <f t="shared" si="16"/>
        <v>0</v>
      </c>
      <c r="G30" s="100">
        <f t="shared" si="16"/>
        <v>0</v>
      </c>
      <c r="H30" s="100">
        <f t="shared" si="16"/>
        <v>0</v>
      </c>
      <c r="I30" s="100">
        <f t="shared" si="16"/>
        <v>0</v>
      </c>
      <c r="J30" s="100">
        <f t="shared" si="16"/>
        <v>0</v>
      </c>
      <c r="K30" s="100">
        <f t="shared" si="16"/>
        <v>0</v>
      </c>
      <c r="L30" s="100">
        <f t="shared" si="16"/>
        <v>0</v>
      </c>
      <c r="M30" s="101">
        <f t="shared" si="16"/>
        <v>0</v>
      </c>
      <c r="N30" s="2"/>
      <c r="O30" s="2"/>
      <c r="P30" s="125"/>
      <c r="Q30" s="47" t="s">
        <v>77</v>
      </c>
      <c r="R30" s="47" t="s">
        <v>17</v>
      </c>
      <c r="S30" s="47" t="s">
        <v>18</v>
      </c>
      <c r="T30" s="47" t="s">
        <v>10</v>
      </c>
      <c r="U30" s="47" t="s">
        <v>78</v>
      </c>
      <c r="V30" s="47" t="s">
        <v>79</v>
      </c>
      <c r="W30" s="126" t="s">
        <v>80</v>
      </c>
      <c r="X30" s="2"/>
      <c r="Y30" s="2"/>
      <c r="Z30" s="67"/>
      <c r="AA30" s="3"/>
    </row>
    <row r="31" ht="18.0" customHeight="1">
      <c r="A31" s="3"/>
      <c r="B31" s="2"/>
      <c r="C31" s="96"/>
      <c r="D31" s="127" t="s">
        <v>81</v>
      </c>
      <c r="E31" s="128"/>
      <c r="F31" s="128"/>
      <c r="G31" s="128"/>
      <c r="H31" s="128"/>
      <c r="I31" s="129"/>
      <c r="J31" s="130"/>
      <c r="K31" s="130"/>
      <c r="L31" s="128"/>
      <c r="M31" s="131"/>
      <c r="N31" s="2"/>
      <c r="O31" s="2"/>
      <c r="P31" s="132"/>
      <c r="Q31" s="133" t="s">
        <v>22</v>
      </c>
      <c r="R31" s="134" t="str">
        <f t="array" ref="R31">_xlfn.XLOOKUP(Plantilla!Q31,CONTROL!$O$13:$O$20,CONTROL!$R$13:$R$20)</f>
        <v/>
      </c>
      <c r="S31" s="135" t="str">
        <f t="array" ref="S31">_xlfn.XLOOKUP(Plantilla!Q31,CONTROL!$O$13:$O$20,CONTROL!$S$13:$S$20)</f>
        <v/>
      </c>
      <c r="T31" s="129"/>
      <c r="U31" s="136">
        <f t="shared" ref="U31:U37" si="17">IFERROR(T31/R31,0)</f>
        <v>0</v>
      </c>
      <c r="V31" s="135"/>
      <c r="W31" s="137"/>
      <c r="X31" s="2"/>
      <c r="Y31" s="2"/>
      <c r="Z31" s="67"/>
      <c r="AA31" s="3"/>
    </row>
    <row r="32" ht="19.5" customHeight="1">
      <c r="A32" s="3"/>
      <c r="B32" s="2"/>
      <c r="C32" s="138"/>
      <c r="D32" s="139" t="s">
        <v>82</v>
      </c>
      <c r="E32" s="94"/>
      <c r="F32" s="94"/>
      <c r="G32" s="94"/>
      <c r="H32" s="94"/>
      <c r="I32" s="94"/>
      <c r="J32" s="94"/>
      <c r="K32" s="94"/>
      <c r="L32" s="94"/>
      <c r="M32" s="140"/>
      <c r="N32" s="2"/>
      <c r="O32" s="2"/>
      <c r="P32" s="141"/>
      <c r="Q32" s="142" t="s">
        <v>24</v>
      </c>
      <c r="R32" s="143" t="str">
        <f t="array" ref="R32">_xlfn.XLOOKUP(Plantilla!Q32,CONTROL!$O$13:$O$20,CONTROL!$R$13:$R$20)</f>
        <v/>
      </c>
      <c r="S32" s="144" t="str">
        <f t="array" ref="S32">_xlfn.XLOOKUP(Plantilla!Q32,CONTROL!$O$13:$O$20,CONTROL!$S$13:$S$20)</f>
        <v/>
      </c>
      <c r="T32" s="145"/>
      <c r="U32" s="146">
        <f t="shared" si="17"/>
        <v>0</v>
      </c>
      <c r="V32" s="144"/>
      <c r="W32" s="147"/>
      <c r="X32" s="2"/>
      <c r="Y32" s="2"/>
      <c r="Z32" s="67"/>
      <c r="AA32" s="3"/>
    </row>
    <row r="33" ht="18.0" customHeight="1">
      <c r="A33" s="3"/>
      <c r="B33" s="2"/>
      <c r="C33" s="148" t="s">
        <v>83</v>
      </c>
      <c r="D33" s="149" t="s">
        <v>65</v>
      </c>
      <c r="E33" s="94"/>
      <c r="F33" s="94"/>
      <c r="G33" s="94"/>
      <c r="H33" s="94"/>
      <c r="I33" s="94"/>
      <c r="J33" s="94"/>
      <c r="K33" s="94"/>
      <c r="L33" s="94"/>
      <c r="M33" s="95">
        <f t="shared" ref="M33:M35" si="18">SUM(E33:K33)</f>
        <v>0</v>
      </c>
      <c r="N33" s="2"/>
      <c r="O33" s="2"/>
      <c r="P33" s="141"/>
      <c r="Q33" s="142" t="s">
        <v>26</v>
      </c>
      <c r="R33" s="143" t="str">
        <f t="array" ref="R33">_xlfn.XLOOKUP(Plantilla!Q33,CONTROL!$O$13:$O$20,CONTROL!$R$13:$R$20)</f>
        <v/>
      </c>
      <c r="S33" s="144" t="str">
        <f t="array" ref="S33">_xlfn.XLOOKUP(Plantilla!Q33,CONTROL!$O$13:$O$20,CONTROL!$S$13:$S$20)</f>
        <v/>
      </c>
      <c r="T33" s="145"/>
      <c r="U33" s="146">
        <f t="shared" si="17"/>
        <v>0</v>
      </c>
      <c r="V33" s="2"/>
      <c r="W33" s="147"/>
      <c r="X33" s="2"/>
      <c r="Y33" s="2"/>
      <c r="Z33" s="67"/>
      <c r="AA33" s="3"/>
    </row>
    <row r="34" ht="18.0" customHeight="1">
      <c r="A34" s="3"/>
      <c r="B34" s="2"/>
      <c r="C34" s="150"/>
      <c r="D34" s="151" t="s">
        <v>84</v>
      </c>
      <c r="E34" s="102"/>
      <c r="F34" s="102"/>
      <c r="G34" s="102"/>
      <c r="H34" s="102"/>
      <c r="I34" s="102"/>
      <c r="J34" s="102"/>
      <c r="K34" s="102"/>
      <c r="L34" s="102"/>
      <c r="M34" s="103">
        <f t="shared" si="18"/>
        <v>0</v>
      </c>
      <c r="N34" s="2"/>
      <c r="O34" s="2"/>
      <c r="P34" s="141"/>
      <c r="Q34" s="142" t="s">
        <v>28</v>
      </c>
      <c r="R34" s="143" t="str">
        <f t="array" ref="R34">_xlfn.XLOOKUP(Plantilla!Q34,CONTROL!$O$13:$O$20,CONTROL!$R$13:$R$20)</f>
        <v/>
      </c>
      <c r="S34" s="144" t="str">
        <f t="array" ref="S34">_xlfn.XLOOKUP(Plantilla!Q34,CONTROL!$O$13:$O$20,CONTROL!$S$13:$S$20)</f>
        <v/>
      </c>
      <c r="T34" s="145"/>
      <c r="U34" s="146">
        <f t="shared" si="17"/>
        <v>0</v>
      </c>
      <c r="V34" s="2"/>
      <c r="W34" s="147"/>
      <c r="X34" s="2"/>
      <c r="Y34" s="2"/>
      <c r="Z34" s="67"/>
      <c r="AA34" s="3"/>
    </row>
    <row r="35" ht="18.0" customHeight="1">
      <c r="A35" s="3"/>
      <c r="B35" s="2"/>
      <c r="C35" s="150"/>
      <c r="D35" s="151" t="s">
        <v>70</v>
      </c>
      <c r="E35" s="104"/>
      <c r="F35" s="104"/>
      <c r="G35" s="104"/>
      <c r="H35" s="104"/>
      <c r="I35" s="104"/>
      <c r="J35" s="104"/>
      <c r="K35" s="104"/>
      <c r="L35" s="104"/>
      <c r="M35" s="152">
        <f t="shared" si="18"/>
        <v>0</v>
      </c>
      <c r="N35" s="2"/>
      <c r="O35" s="2"/>
      <c r="P35" s="141"/>
      <c r="Q35" s="142" t="s">
        <v>37</v>
      </c>
      <c r="R35" s="143" t="str">
        <f t="array" ref="R35">_xlfn.XLOOKUP(Plantilla!Q35,CONTROL!$O$13:$O$20,CONTROL!$R$13:$R$20)</f>
        <v/>
      </c>
      <c r="S35" s="144" t="str">
        <f t="array" ref="S35">_xlfn.XLOOKUP(Plantilla!Q35,CONTROL!$O$13:$O$20,CONTROL!$S$13:$S$20)</f>
        <v/>
      </c>
      <c r="T35" s="145"/>
      <c r="U35" s="146">
        <f t="shared" si="17"/>
        <v>0</v>
      </c>
      <c r="V35" s="144"/>
      <c r="W35" s="147"/>
      <c r="X35" s="2"/>
      <c r="Y35" s="2"/>
      <c r="Z35" s="67"/>
      <c r="AA35" s="3"/>
    </row>
    <row r="36" ht="18.0" customHeight="1">
      <c r="A36" s="3"/>
      <c r="B36" s="2"/>
      <c r="C36" s="153"/>
      <c r="D36" s="154" t="s">
        <v>85</v>
      </c>
      <c r="E36" s="94"/>
      <c r="F36" s="94"/>
      <c r="G36" s="94"/>
      <c r="H36" s="94"/>
      <c r="I36" s="94"/>
      <c r="J36" s="94"/>
      <c r="K36" s="94"/>
      <c r="L36" s="94"/>
      <c r="M36" s="155">
        <f>SUM(E36:L36)</f>
        <v>0</v>
      </c>
      <c r="N36" s="2"/>
      <c r="O36" s="2"/>
      <c r="P36" s="141"/>
      <c r="Q36" s="142" t="s">
        <v>39</v>
      </c>
      <c r="R36" s="143" t="str">
        <f t="array" ref="R36">_xlfn.XLOOKUP(Plantilla!Q36,CONTROL!$O$13:$O$20,CONTROL!$R$13:$R$20)</f>
        <v/>
      </c>
      <c r="S36" s="144" t="str">
        <f t="array" ref="S36">_xlfn.XLOOKUP(Plantilla!Q36,CONTROL!$O$13:$O$20,CONTROL!$S$13:$S$20)</f>
        <v/>
      </c>
      <c r="T36" s="145"/>
      <c r="U36" s="146">
        <f t="shared" si="17"/>
        <v>0</v>
      </c>
      <c r="V36" s="144"/>
      <c r="W36" s="147"/>
      <c r="X36" s="2"/>
      <c r="Y36" s="2"/>
      <c r="Z36" s="67"/>
      <c r="AA36" s="3"/>
    </row>
    <row r="37" ht="18.0" customHeight="1">
      <c r="A37" s="3"/>
      <c r="B37" s="2"/>
      <c r="C37" s="2"/>
      <c r="D37" s="2"/>
      <c r="E37" s="156" t="s">
        <v>86</v>
      </c>
      <c r="F37" s="157"/>
      <c r="G37" s="158"/>
      <c r="H37" s="159">
        <f>M33</f>
        <v>0</v>
      </c>
      <c r="I37" s="2"/>
      <c r="J37" s="2"/>
      <c r="K37" s="2"/>
      <c r="L37" s="2"/>
      <c r="M37" s="2"/>
      <c r="N37" s="2"/>
      <c r="O37" s="2"/>
      <c r="P37" s="141"/>
      <c r="Q37" s="142" t="s">
        <v>41</v>
      </c>
      <c r="R37" s="160" t="str">
        <f t="array" ref="R37">_xlfn.XLOOKUP(Plantilla!Q37,CONTROL!$O$13:$O$20,CONTROL!$R$13:$R$20)</f>
        <v/>
      </c>
      <c r="S37" s="161" t="str">
        <f t="array" ref="S37">_xlfn.XLOOKUP(Plantilla!Q37,CONTROL!$O$13:$O$20,CONTROL!$S$13:$S$20)</f>
        <v/>
      </c>
      <c r="T37" s="162"/>
      <c r="U37" s="146">
        <f t="shared" si="17"/>
        <v>0</v>
      </c>
      <c r="V37" s="163"/>
      <c r="W37" s="147"/>
      <c r="X37" s="2"/>
      <c r="Y37" s="2"/>
      <c r="Z37" s="67"/>
      <c r="AA37" s="3"/>
    </row>
    <row r="38" ht="18.0" customHeight="1">
      <c r="A38" s="3"/>
      <c r="B38" s="2"/>
      <c r="C38" s="2"/>
      <c r="D38" s="2"/>
      <c r="E38" s="164" t="s">
        <v>87</v>
      </c>
      <c r="F38" s="165"/>
      <c r="G38" s="166"/>
      <c r="H38" s="167">
        <f>M35</f>
        <v>0</v>
      </c>
      <c r="I38" s="2"/>
      <c r="J38" s="2"/>
      <c r="K38" s="2"/>
      <c r="L38" s="2"/>
      <c r="M38" s="2"/>
      <c r="N38" s="2"/>
      <c r="O38" s="2"/>
      <c r="P38" s="168" t="s">
        <v>88</v>
      </c>
      <c r="Q38" s="169"/>
      <c r="R38" s="170">
        <f t="shared" ref="R38:W38" si="19">SUM(R31:R37)</f>
        <v>0</v>
      </c>
      <c r="S38" s="171">
        <f t="shared" si="19"/>
        <v>0</v>
      </c>
      <c r="T38" s="172">
        <f t="shared" si="19"/>
        <v>0</v>
      </c>
      <c r="U38" s="173">
        <f t="shared" si="19"/>
        <v>0</v>
      </c>
      <c r="V38" s="171">
        <f t="shared" si="19"/>
        <v>0</v>
      </c>
      <c r="W38" s="174">
        <f t="shared" si="19"/>
        <v>0</v>
      </c>
      <c r="X38" s="2"/>
      <c r="Y38" s="47"/>
      <c r="Z38" s="67"/>
      <c r="AA38" s="3"/>
    </row>
    <row r="39" ht="18.0" customHeight="1">
      <c r="A39" s="3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141"/>
      <c r="Q39" s="2"/>
      <c r="R39" s="2"/>
      <c r="S39" s="2"/>
      <c r="T39" s="2"/>
      <c r="U39" s="2"/>
      <c r="V39" s="2"/>
      <c r="W39" s="147"/>
      <c r="X39" s="47"/>
      <c r="Y39" s="2"/>
      <c r="Z39" s="67"/>
      <c r="AA39" s="3"/>
    </row>
    <row r="40" ht="18.0" customHeight="1">
      <c r="A40" s="3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141"/>
      <c r="Q40" s="47" t="s">
        <v>77</v>
      </c>
      <c r="R40" s="47" t="s">
        <v>17</v>
      </c>
      <c r="S40" s="47" t="s">
        <v>18</v>
      </c>
      <c r="T40" s="47" t="s">
        <v>10</v>
      </c>
      <c r="U40" s="47" t="s">
        <v>78</v>
      </c>
      <c r="V40" s="47" t="s">
        <v>79</v>
      </c>
      <c r="W40" s="126" t="s">
        <v>80</v>
      </c>
      <c r="X40" s="2"/>
      <c r="Y40" s="2"/>
      <c r="Z40" s="67"/>
      <c r="AA40" s="3"/>
    </row>
    <row r="41" ht="27.0" customHeight="1">
      <c r="A41" s="3"/>
      <c r="B41" s="2"/>
      <c r="C41" s="2"/>
      <c r="D41" s="175"/>
      <c r="E41" s="176" t="s">
        <v>89</v>
      </c>
      <c r="F41" s="177" t="s">
        <v>90</v>
      </c>
      <c r="G41" s="2"/>
      <c r="H41" s="2"/>
      <c r="I41" s="2"/>
      <c r="J41" s="2"/>
      <c r="K41" s="2"/>
      <c r="L41" s="2"/>
      <c r="M41" s="2"/>
      <c r="N41" s="2"/>
      <c r="O41" s="2"/>
      <c r="P41" s="141"/>
      <c r="Q41" s="142" t="s">
        <v>34</v>
      </c>
      <c r="R41" s="178" t="str">
        <f t="array" ref="R41">_xlfn.XLOOKUP(Plantilla!Q41,CONTROL!$O$13:$O$20,CONTROL!$R$13:$R$20)</f>
        <v/>
      </c>
      <c r="S41" s="179" t="str">
        <f t="array" ref="S41">_xlfn.XLOOKUP(Plantilla!Q41,CONTROL!$O$13:$O$20,CONTROL!$S$13:$S$20)</f>
        <v/>
      </c>
      <c r="T41" s="145"/>
      <c r="U41" s="146">
        <f>IFERROR(T41/R41,0)</f>
        <v>0</v>
      </c>
      <c r="V41" s="144"/>
      <c r="W41" s="147"/>
      <c r="X41" s="2"/>
      <c r="Y41" s="2"/>
      <c r="Z41" s="67"/>
      <c r="AA41" s="3"/>
    </row>
    <row r="42" ht="18.0" customHeight="1">
      <c r="A42" s="3"/>
      <c r="B42" s="2"/>
      <c r="C42" s="2"/>
      <c r="D42" s="180" t="s">
        <v>91</v>
      </c>
      <c r="E42" s="181">
        <f>IFERROR(R43/CONTROL!X13,0)</f>
        <v>0</v>
      </c>
      <c r="F42" s="181">
        <f>R43</f>
        <v>0</v>
      </c>
      <c r="G42" s="2"/>
      <c r="H42" s="2"/>
      <c r="I42" s="2"/>
      <c r="J42" s="2"/>
      <c r="K42" s="2"/>
      <c r="L42" s="2"/>
      <c r="M42" s="2"/>
      <c r="N42" s="2"/>
      <c r="O42" s="2"/>
      <c r="P42" s="141"/>
      <c r="Q42" s="2"/>
      <c r="R42" s="2"/>
      <c r="S42" s="2"/>
      <c r="T42" s="2"/>
      <c r="U42" s="2"/>
      <c r="V42" s="2"/>
      <c r="W42" s="147"/>
      <c r="X42" s="2"/>
      <c r="Y42" s="2"/>
      <c r="Z42" s="67"/>
      <c r="AA42" s="3"/>
    </row>
    <row r="43" ht="18.0" customHeight="1">
      <c r="A43" s="3"/>
      <c r="B43" s="2"/>
      <c r="C43" s="2"/>
      <c r="D43" s="180" t="s">
        <v>92</v>
      </c>
      <c r="E43" s="182">
        <f>IFERROR(D3/D4,0)</f>
        <v>0</v>
      </c>
      <c r="F43" s="182" t="str">
        <f>D3</f>
        <v/>
      </c>
      <c r="G43" s="2"/>
      <c r="H43" s="2"/>
      <c r="I43" s="2"/>
      <c r="J43" s="2"/>
      <c r="K43" s="2"/>
      <c r="L43" s="2"/>
      <c r="M43" s="2"/>
      <c r="N43" s="2"/>
      <c r="O43" s="2"/>
      <c r="P43" s="183" t="s">
        <v>93</v>
      </c>
      <c r="Q43" s="169"/>
      <c r="R43" s="184">
        <f t="shared" ref="R43:W43" si="20">SUM(R38+R41)</f>
        <v>0</v>
      </c>
      <c r="S43" s="185">
        <f t="shared" si="20"/>
        <v>0</v>
      </c>
      <c r="T43" s="186">
        <f t="shared" si="20"/>
        <v>0</v>
      </c>
      <c r="U43" s="187">
        <f t="shared" si="20"/>
        <v>0</v>
      </c>
      <c r="V43" s="185">
        <f t="shared" si="20"/>
        <v>0</v>
      </c>
      <c r="W43" s="188">
        <f t="shared" si="20"/>
        <v>0</v>
      </c>
      <c r="X43" s="2"/>
      <c r="Y43" s="2"/>
      <c r="Z43" s="67"/>
      <c r="AA43" s="3"/>
    </row>
    <row r="44" ht="18.0" customHeight="1">
      <c r="A44" s="3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67"/>
      <c r="AA44" s="3"/>
    </row>
    <row r="45" ht="18.0" customHeight="1">
      <c r="A45" s="3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67"/>
      <c r="AA45" s="3"/>
    </row>
    <row r="46" ht="21.75" customHeight="1">
      <c r="A46" s="3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Z46" s="67"/>
      <c r="AA46" s="3"/>
    </row>
    <row r="47" ht="18.0" customHeight="1">
      <c r="A47" s="3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</row>
    <row r="48" ht="18.0" customHeight="1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</row>
    <row r="49" ht="18.0" customHeight="1"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</row>
    <row r="50" ht="18.0" customHeight="1"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</row>
    <row r="51" ht="27.0" customHeight="1"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</row>
    <row r="52" ht="18.0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</row>
    <row r="53" ht="18.0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</row>
    <row r="54" ht="18.0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</row>
    <row r="55" ht="18.0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</row>
    <row r="56" ht="18.0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</row>
    <row r="57" ht="18.0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</row>
    <row r="58" ht="18.0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</row>
    <row r="59" ht="18.0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</row>
    <row r="60" ht="18.0" customHeight="1"/>
    <row r="61" ht="18.0" customHeight="1"/>
    <row r="62" ht="18.0" customHeight="1"/>
    <row r="63" ht="18.0" customHeight="1"/>
    <row r="64" ht="18.0" customHeight="1"/>
    <row r="65" ht="18.0" customHeight="1"/>
    <row r="66" ht="18.0" customHeight="1"/>
    <row r="67" ht="18.0" customHeight="1"/>
    <row r="68" ht="18.0" customHeight="1"/>
    <row r="69" ht="18.0" customHeight="1"/>
    <row r="70" ht="18.0" customHeight="1"/>
    <row r="71" ht="18.0" customHeight="1"/>
    <row r="72" ht="18.0" customHeight="1"/>
    <row r="73" ht="18.0" customHeight="1"/>
    <row r="74" ht="18.0" customHeight="1"/>
    <row r="75" ht="18.0" customHeight="1"/>
    <row r="76" ht="18.0" customHeight="1"/>
    <row r="77" ht="18.0" customHeight="1"/>
    <row r="78" ht="18.0" customHeight="1"/>
    <row r="79" ht="18.0" customHeight="1"/>
    <row r="80" ht="18.0" customHeight="1"/>
    <row r="81" ht="18.0" customHeight="1"/>
    <row r="82" ht="18.0" customHeight="1"/>
    <row r="83" ht="18.0" customHeight="1"/>
    <row r="84" ht="18.0" customHeight="1"/>
    <row r="85" ht="18.0" customHeight="1"/>
    <row r="86" ht="18.0" customHeight="1"/>
    <row r="87" ht="18.0" customHeight="1"/>
    <row r="88" ht="18.0" customHeight="1"/>
    <row r="89" ht="18.0" customHeight="1"/>
    <row r="90" ht="18.0" customHeight="1"/>
    <row r="91" ht="18.0" customHeight="1"/>
    <row r="92" ht="18.0" customHeight="1"/>
    <row r="93" ht="18.0" customHeight="1"/>
    <row r="94" ht="18.0" customHeight="1"/>
    <row r="95" ht="18.0" customHeight="1"/>
    <row r="96" ht="18.0" customHeight="1"/>
    <row r="97" ht="18.0" customHeight="1"/>
    <row r="98" ht="18.0" customHeight="1"/>
    <row r="99" ht="18.0" customHeight="1"/>
    <row r="100" ht="18.0" customHeight="1"/>
    <row r="101" ht="18.0" customHeight="1"/>
    <row r="102" ht="18.0" customHeight="1"/>
    <row r="103" ht="18.0" customHeight="1"/>
    <row r="104" ht="18.0" customHeight="1"/>
    <row r="105" ht="18.0" customHeight="1"/>
    <row r="106" ht="18.0" customHeight="1"/>
    <row r="107" ht="18.0" customHeight="1"/>
    <row r="108" ht="18.0" customHeight="1"/>
    <row r="109" ht="18.0" customHeight="1"/>
    <row r="110" ht="18.0" customHeight="1"/>
    <row r="111" ht="18.0" customHeight="1"/>
    <row r="112" ht="18.0" customHeight="1"/>
    <row r="113" ht="18.0" customHeight="1"/>
    <row r="114" ht="18.0" customHeight="1"/>
    <row r="115" ht="18.0" customHeight="1"/>
    <row r="116" ht="18.0" customHeight="1"/>
    <row r="117" ht="18.0" customHeight="1"/>
    <row r="118" ht="18.0" customHeight="1"/>
    <row r="119" ht="18.0" customHeight="1"/>
    <row r="120" ht="18.0" customHeight="1"/>
    <row r="121" ht="18.0" customHeight="1"/>
    <row r="122" ht="18.0" customHeight="1"/>
    <row r="123" ht="18.0" customHeight="1"/>
    <row r="124" ht="18.0" customHeight="1"/>
    <row r="125" ht="18.0" customHeight="1"/>
    <row r="126" ht="18.0" customHeight="1"/>
    <row r="127" ht="18.0" customHeight="1"/>
    <row r="128" ht="18.0" customHeight="1"/>
    <row r="129" ht="18.0" customHeight="1"/>
    <row r="130" ht="18.0" customHeight="1"/>
    <row r="131" ht="18.0" customHeight="1"/>
    <row r="132" ht="18.0" customHeight="1"/>
    <row r="133" ht="18.0" customHeight="1"/>
    <row r="134" ht="18.0" customHeight="1"/>
    <row r="135" ht="18.0" customHeight="1"/>
    <row r="136" ht="18.0" customHeight="1"/>
    <row r="137" ht="18.0" customHeight="1"/>
    <row r="138" ht="18.0" customHeight="1"/>
    <row r="139" ht="18.0" customHeight="1"/>
    <row r="140" ht="18.0" customHeight="1"/>
    <row r="141" ht="18.0" customHeight="1"/>
    <row r="142" ht="18.0" customHeight="1"/>
    <row r="143" ht="18.0" customHeight="1"/>
    <row r="144" ht="18.0" customHeight="1"/>
    <row r="145" ht="18.0" customHeight="1"/>
    <row r="146" ht="18.0" customHeight="1"/>
    <row r="147" ht="18.0" customHeight="1"/>
    <row r="148" ht="18.0" customHeight="1"/>
    <row r="149" ht="18.0" customHeight="1"/>
    <row r="150" ht="18.0" customHeight="1"/>
    <row r="151" ht="18.0" customHeight="1"/>
    <row r="152" ht="18.0" customHeight="1"/>
    <row r="153" ht="18.0" customHeight="1"/>
    <row r="154" ht="18.0" customHeight="1"/>
    <row r="155" ht="18.0" customHeight="1"/>
    <row r="156" ht="18.0" customHeight="1"/>
    <row r="157" ht="18.0" customHeight="1"/>
    <row r="158" ht="18.0" customHeight="1"/>
    <row r="159" ht="18.0" customHeight="1"/>
    <row r="160" ht="18.0" customHeight="1"/>
    <row r="161" ht="18.0" customHeight="1"/>
    <row r="162" ht="18.0" customHeight="1"/>
    <row r="163" ht="18.0" customHeight="1"/>
    <row r="164" ht="18.0" customHeight="1"/>
    <row r="165" ht="18.0" customHeight="1"/>
    <row r="166" ht="18.0" customHeight="1"/>
    <row r="167" ht="18.0" customHeight="1"/>
    <row r="168" ht="18.0" customHeight="1"/>
    <row r="169" ht="18.0" customHeight="1"/>
    <row r="170" ht="18.0" customHeight="1"/>
    <row r="171" ht="18.0" customHeight="1"/>
    <row r="172" ht="18.0" customHeight="1"/>
    <row r="173" ht="18.0" customHeight="1"/>
    <row r="174" ht="18.0" customHeight="1"/>
    <row r="175" ht="18.0" customHeight="1"/>
    <row r="176" ht="18.0" customHeight="1"/>
    <row r="177" ht="18.0" customHeight="1"/>
    <row r="178" ht="18.0" customHeight="1"/>
    <row r="179" ht="18.0" customHeight="1"/>
    <row r="180" ht="18.0" customHeight="1"/>
    <row r="181" ht="18.0" customHeight="1"/>
    <row r="182" ht="18.0" customHeight="1"/>
    <row r="183" ht="18.0" customHeight="1"/>
    <row r="184" ht="18.0" customHeight="1"/>
    <row r="185" ht="18.0" customHeight="1"/>
    <row r="186" ht="18.0" customHeight="1"/>
    <row r="187" ht="18.0" customHeight="1"/>
    <row r="188" ht="18.0" customHeight="1"/>
    <row r="189" ht="18.0" customHeight="1"/>
    <row r="190" ht="18.0" customHeight="1"/>
    <row r="191" ht="18.0" customHeight="1"/>
    <row r="192" ht="18.0" customHeight="1"/>
    <row r="193" ht="18.0" customHeight="1"/>
    <row r="194" ht="18.0" customHeight="1"/>
    <row r="195" ht="18.0" customHeight="1"/>
    <row r="196" ht="18.0" customHeight="1"/>
    <row r="197" ht="18.0" customHeight="1"/>
    <row r="198" ht="18.0" customHeight="1"/>
    <row r="199" ht="18.0" customHeight="1"/>
    <row r="200" ht="18.0" customHeight="1"/>
    <row r="201" ht="18.0" customHeight="1"/>
    <row r="202" ht="18.0" customHeight="1"/>
    <row r="203" ht="18.0" customHeight="1"/>
    <row r="204" ht="18.0" customHeight="1"/>
    <row r="205" ht="18.0" customHeight="1"/>
    <row r="206" ht="18.0" customHeight="1"/>
    <row r="207" ht="18.0" customHeight="1"/>
    <row r="208" ht="18.0" customHeight="1"/>
    <row r="209" ht="18.0" customHeight="1"/>
    <row r="210" ht="18.0" customHeight="1"/>
    <row r="211" ht="18.0" customHeight="1"/>
    <row r="212" ht="18.0" customHeight="1"/>
    <row r="213" ht="18.0" customHeight="1"/>
    <row r="214" ht="18.0" customHeight="1"/>
    <row r="215" ht="18.0" customHeight="1"/>
    <row r="216" ht="18.0" customHeight="1"/>
    <row r="217" ht="18.0" customHeight="1"/>
    <row r="218" ht="18.0" customHeight="1"/>
    <row r="219" ht="18.0" customHeight="1"/>
    <row r="220" ht="18.0" customHeight="1"/>
    <row r="221" ht="18.0" customHeight="1"/>
    <row r="222" ht="18.0" customHeight="1"/>
    <row r="223" ht="18.0" customHeight="1"/>
    <row r="224" ht="18.0" customHeight="1"/>
    <row r="225" ht="18.0" customHeight="1"/>
    <row r="226" ht="18.0" customHeight="1"/>
    <row r="227" ht="18.0" customHeight="1"/>
    <row r="228" ht="18.0" customHeight="1"/>
    <row r="229" ht="18.0" customHeight="1"/>
    <row r="230" ht="18.0" customHeight="1"/>
    <row r="231" ht="18.0" customHeight="1"/>
    <row r="232" ht="18.0" customHeight="1"/>
    <row r="233" ht="18.0" customHeight="1"/>
    <row r="234" ht="18.0" customHeight="1"/>
    <row r="235" ht="18.0" customHeight="1"/>
    <row r="236" ht="18.0" customHeight="1"/>
    <row r="237" ht="18.0" customHeight="1"/>
    <row r="238" ht="18.0" customHeight="1"/>
    <row r="239" ht="18.0" customHeight="1"/>
    <row r="240" ht="18.0" customHeight="1"/>
    <row r="241" ht="18.0" customHeight="1"/>
    <row r="242" ht="18.0" customHeight="1"/>
    <row r="243" ht="18.0" customHeight="1"/>
    <row r="244" ht="18.0" customHeight="1"/>
    <row r="245" ht="18.0" customHeight="1"/>
    <row r="246" ht="18.0" customHeight="1"/>
    <row r="247" ht="18.0" customHeight="1"/>
    <row r="248" ht="18.0" customHeight="1"/>
    <row r="249" ht="18.0" customHeight="1"/>
    <row r="250" ht="18.0" customHeight="1"/>
    <row r="251" ht="18.0" customHeight="1"/>
    <row r="252" ht="18.0" customHeight="1"/>
    <row r="253" ht="18.0" customHeight="1"/>
    <row r="254" ht="18.0" customHeight="1"/>
    <row r="255" ht="18.0" customHeight="1"/>
    <row r="256" ht="18.0" customHeight="1"/>
    <row r="257" ht="18.0" customHeight="1"/>
    <row r="258" ht="18.0" customHeight="1"/>
    <row r="259" ht="18.0" customHeight="1"/>
    <row r="260" ht="18.0" customHeight="1"/>
    <row r="261" ht="18.0" customHeight="1"/>
    <row r="262" ht="18.0" customHeight="1"/>
    <row r="263" ht="18.0" customHeight="1"/>
    <row r="264" ht="18.0" customHeight="1"/>
    <row r="265" ht="18.0" customHeight="1"/>
    <row r="266" ht="18.0" customHeight="1"/>
    <row r="267" ht="18.0" customHeight="1"/>
    <row r="268" ht="18.0" customHeight="1"/>
    <row r="269" ht="18.0" customHeight="1"/>
    <row r="270" ht="18.0" customHeight="1"/>
    <row r="271" ht="18.0" customHeight="1"/>
    <row r="272" ht="18.0" customHeight="1"/>
    <row r="273" ht="18.0" customHeight="1"/>
    <row r="274" ht="18.0" customHeight="1"/>
    <row r="275" ht="18.0" customHeight="1"/>
    <row r="276" ht="18.0" customHeight="1"/>
    <row r="277" ht="18.0" customHeight="1"/>
    <row r="278" ht="18.0" customHeight="1"/>
    <row r="279" ht="18.0" customHeight="1"/>
    <row r="280" ht="18.0" customHeight="1"/>
    <row r="281" ht="18.0" customHeight="1"/>
    <row r="282" ht="18.0" customHeight="1"/>
    <row r="283" ht="18.0" customHeight="1"/>
    <row r="284" ht="18.0" customHeight="1"/>
    <row r="285" ht="18.0" customHeight="1"/>
    <row r="286" ht="18.0" customHeight="1"/>
    <row r="287" ht="18.0" customHeight="1"/>
    <row r="288" ht="18.0" customHeight="1"/>
    <row r="289" ht="18.0" customHeight="1"/>
    <row r="290" ht="18.0" customHeight="1"/>
    <row r="291" ht="18.0" customHeight="1"/>
    <row r="292" ht="18.0" customHeight="1"/>
    <row r="293" ht="18.0" customHeight="1"/>
    <row r="294" ht="18.0" customHeight="1"/>
    <row r="295" ht="18.0" customHeight="1"/>
    <row r="296" ht="18.0" customHeight="1"/>
    <row r="297" ht="18.0" customHeight="1"/>
    <row r="298" ht="18.0" customHeight="1"/>
    <row r="299" ht="18.0" customHeight="1"/>
    <row r="300" ht="18.0" customHeight="1"/>
    <row r="301" ht="18.0" customHeight="1"/>
    <row r="302" ht="18.0" customHeight="1"/>
    <row r="303" ht="18.0" customHeight="1"/>
    <row r="304" ht="18.0" customHeight="1"/>
    <row r="305" ht="18.0" customHeight="1"/>
    <row r="306" ht="18.0" customHeight="1"/>
    <row r="307" ht="18.0" customHeight="1"/>
    <row r="308" ht="18.0" customHeight="1"/>
    <row r="309" ht="18.0" customHeight="1"/>
    <row r="310" ht="18.0" customHeight="1"/>
    <row r="311" ht="18.0" customHeight="1"/>
    <row r="312" ht="18.0" customHeight="1"/>
    <row r="313" ht="18.0" customHeight="1"/>
    <row r="314" ht="18.0" customHeight="1"/>
    <row r="315" ht="18.0" customHeight="1"/>
    <row r="316" ht="18.0" customHeight="1"/>
    <row r="317" ht="18.0" customHeight="1"/>
    <row r="318" ht="18.0" customHeight="1"/>
    <row r="319" ht="18.0" customHeight="1"/>
    <row r="320" ht="18.0" customHeight="1"/>
    <row r="321" ht="18.0" customHeight="1"/>
    <row r="322" ht="18.0" customHeight="1"/>
    <row r="323" ht="18.0" customHeight="1"/>
    <row r="324" ht="18.0" customHeight="1"/>
    <row r="325" ht="18.0" customHeight="1"/>
    <row r="326" ht="18.0" customHeight="1"/>
    <row r="327" ht="18.0" customHeight="1"/>
    <row r="328" ht="18.0" customHeight="1"/>
    <row r="329" ht="18.0" customHeight="1"/>
    <row r="330" ht="18.0" customHeight="1"/>
    <row r="331" ht="18.0" customHeight="1"/>
    <row r="332" ht="18.0" customHeight="1"/>
    <row r="333" ht="18.0" customHeight="1"/>
    <row r="334" ht="18.0" customHeight="1"/>
    <row r="335" ht="18.0" customHeight="1"/>
    <row r="336" ht="18.0" customHeight="1"/>
    <row r="337" ht="18.0" customHeight="1"/>
    <row r="338" ht="18.0" customHeight="1"/>
    <row r="339" ht="18.0" customHeight="1"/>
    <row r="340" ht="18.0" customHeight="1"/>
    <row r="341" ht="18.0" customHeight="1"/>
    <row r="342" ht="18.0" customHeight="1"/>
    <row r="343" ht="18.0" customHeight="1"/>
    <row r="344" ht="18.0" customHeight="1"/>
    <row r="345" ht="18.0" customHeight="1"/>
    <row r="346" ht="18.0" customHeight="1"/>
    <row r="347" ht="18.0" customHeight="1"/>
    <row r="348" ht="18.0" customHeight="1"/>
    <row r="349" ht="18.0" customHeight="1"/>
    <row r="350" ht="18.0" customHeight="1"/>
    <row r="351" ht="18.0" customHeight="1"/>
    <row r="352" ht="18.0" customHeight="1"/>
    <row r="353" ht="18.0" customHeight="1"/>
    <row r="354" ht="18.0" customHeight="1"/>
    <row r="355" ht="18.0" customHeight="1"/>
    <row r="356" ht="18.0" customHeight="1"/>
    <row r="357" ht="18.0" customHeight="1"/>
    <row r="358" ht="18.0" customHeight="1"/>
    <row r="359" ht="18.0" customHeight="1"/>
    <row r="360" ht="18.0" customHeight="1"/>
    <row r="361" ht="18.0" customHeight="1"/>
    <row r="362" ht="18.0" customHeight="1"/>
    <row r="363" ht="18.0" customHeight="1"/>
    <row r="364" ht="18.0" customHeight="1"/>
    <row r="365" ht="18.0" customHeight="1"/>
    <row r="366" ht="18.0" customHeight="1"/>
    <row r="367" ht="18.0" customHeight="1"/>
    <row r="368" ht="18.0" customHeight="1"/>
    <row r="369" ht="18.0" customHeight="1"/>
    <row r="370" ht="18.0" customHeight="1"/>
    <row r="371" ht="18.0" customHeight="1"/>
    <row r="372" ht="18.0" customHeight="1"/>
    <row r="373" ht="18.0" customHeight="1"/>
    <row r="374" ht="18.0" customHeight="1"/>
    <row r="375" ht="18.0" customHeight="1"/>
    <row r="376" ht="18.0" customHeight="1"/>
    <row r="377" ht="18.0" customHeight="1"/>
    <row r="378" ht="18.0" customHeight="1"/>
    <row r="379" ht="18.0" customHeight="1"/>
    <row r="380" ht="18.0" customHeight="1"/>
    <row r="381" ht="18.0" customHeight="1"/>
    <row r="382" ht="18.0" customHeight="1"/>
    <row r="383" ht="18.0" customHeight="1"/>
    <row r="384" ht="18.0" customHeight="1"/>
    <row r="385" ht="18.0" customHeight="1"/>
    <row r="386" ht="18.0" customHeight="1"/>
    <row r="387" ht="18.0" customHeight="1"/>
    <row r="388" ht="18.0" customHeight="1"/>
    <row r="389" ht="18.0" customHeight="1"/>
    <row r="390" ht="18.0" customHeight="1"/>
    <row r="391" ht="18.0" customHeight="1"/>
    <row r="392" ht="18.0" customHeight="1"/>
    <row r="393" ht="18.0" customHeight="1"/>
    <row r="394" ht="18.0" customHeight="1"/>
    <row r="395" ht="18.0" customHeight="1"/>
    <row r="396" ht="18.0" customHeight="1"/>
    <row r="397" ht="18.0" customHeight="1"/>
    <row r="398" ht="18.0" customHeight="1"/>
    <row r="399" ht="18.0" customHeight="1"/>
    <row r="400" ht="18.0" customHeight="1"/>
    <row r="401" ht="18.0" customHeight="1"/>
    <row r="402" ht="18.0" customHeight="1"/>
    <row r="403" ht="18.0" customHeight="1"/>
    <row r="404" ht="18.0" customHeight="1"/>
    <row r="405" ht="18.0" customHeight="1"/>
    <row r="406" ht="18.0" customHeight="1"/>
    <row r="407" ht="18.0" customHeight="1"/>
    <row r="408" ht="18.0" customHeight="1"/>
    <row r="409" ht="18.0" customHeight="1"/>
    <row r="410" ht="18.0" customHeight="1"/>
    <row r="411" ht="18.0" customHeight="1"/>
    <row r="412" ht="18.0" customHeight="1"/>
    <row r="413" ht="18.0" customHeight="1"/>
    <row r="414" ht="18.0" customHeight="1"/>
    <row r="415" ht="18.0" customHeight="1"/>
    <row r="416" ht="18.0" customHeight="1"/>
    <row r="417" ht="18.0" customHeight="1"/>
    <row r="418" ht="18.0" customHeight="1"/>
    <row r="419" ht="18.0" customHeight="1"/>
    <row r="420" ht="18.0" customHeight="1"/>
    <row r="421" ht="18.0" customHeight="1"/>
    <row r="422" ht="18.0" customHeight="1"/>
    <row r="423" ht="18.0" customHeight="1"/>
    <row r="424" ht="18.0" customHeight="1"/>
    <row r="425" ht="18.0" customHeight="1"/>
    <row r="426" ht="18.0" customHeight="1"/>
    <row r="427" ht="18.0" customHeight="1"/>
    <row r="428" ht="18.0" customHeight="1"/>
    <row r="429" ht="18.0" customHeight="1"/>
    <row r="430" ht="18.0" customHeight="1"/>
    <row r="431" ht="18.0" customHeight="1"/>
    <row r="432" ht="18.0" customHeight="1"/>
    <row r="433" ht="18.0" customHeight="1"/>
    <row r="434" ht="18.0" customHeight="1"/>
    <row r="435" ht="18.0" customHeight="1"/>
    <row r="436" ht="18.0" customHeight="1"/>
    <row r="437" ht="18.0" customHeight="1"/>
    <row r="438" ht="18.0" customHeight="1"/>
    <row r="439" ht="18.0" customHeight="1"/>
    <row r="440" ht="18.0" customHeight="1"/>
    <row r="441" ht="18.0" customHeight="1"/>
    <row r="442" ht="18.0" customHeight="1"/>
    <row r="443" ht="18.0" customHeight="1"/>
    <row r="444" ht="18.0" customHeight="1"/>
    <row r="445" ht="18.0" customHeight="1"/>
    <row r="446" ht="18.0" customHeight="1"/>
    <row r="447" ht="18.0" customHeight="1"/>
    <row r="448" ht="18.0" customHeight="1"/>
    <row r="449" ht="18.0" customHeight="1"/>
    <row r="450" ht="18.0" customHeight="1"/>
    <row r="451" ht="18.0" customHeight="1"/>
    <row r="452" ht="18.0" customHeight="1"/>
    <row r="453" ht="18.0" customHeight="1"/>
    <row r="454" ht="18.0" customHeight="1"/>
    <row r="455" ht="18.0" customHeight="1"/>
    <row r="456" ht="18.0" customHeight="1"/>
    <row r="457" ht="18.0" customHeight="1"/>
    <row r="458" ht="18.0" customHeight="1"/>
    <row r="459" ht="18.0" customHeight="1"/>
    <row r="460" ht="18.0" customHeight="1"/>
    <row r="461" ht="18.0" customHeight="1"/>
    <row r="462" ht="18.0" customHeight="1"/>
    <row r="463" ht="18.0" customHeight="1"/>
    <row r="464" ht="18.0" customHeight="1"/>
    <row r="465" ht="18.0" customHeight="1"/>
    <row r="466" ht="18.0" customHeight="1"/>
    <row r="467" ht="18.0" customHeight="1"/>
    <row r="468" ht="18.0" customHeight="1"/>
    <row r="469" ht="18.0" customHeight="1"/>
    <row r="470" ht="18.0" customHeight="1"/>
    <row r="471" ht="18.0" customHeight="1"/>
    <row r="472" ht="18.0" customHeight="1"/>
    <row r="473" ht="18.0" customHeight="1"/>
    <row r="474" ht="18.0" customHeight="1"/>
    <row r="475" ht="18.0" customHeight="1"/>
    <row r="476" ht="18.0" customHeight="1"/>
    <row r="477" ht="18.0" customHeight="1"/>
    <row r="478" ht="18.0" customHeight="1"/>
    <row r="479" ht="18.0" customHeight="1"/>
    <row r="480" ht="18.0" customHeight="1"/>
    <row r="481" ht="18.0" customHeight="1"/>
    <row r="482" ht="18.0" customHeight="1"/>
    <row r="483" ht="18.0" customHeight="1"/>
    <row r="484" ht="18.0" customHeight="1"/>
    <row r="485" ht="18.0" customHeight="1"/>
    <row r="486" ht="18.0" customHeight="1"/>
    <row r="487" ht="18.0" customHeight="1"/>
    <row r="488" ht="18.0" customHeight="1"/>
    <row r="489" ht="18.0" customHeight="1"/>
    <row r="490" ht="18.0" customHeight="1"/>
    <row r="491" ht="18.0" customHeight="1"/>
    <row r="492" ht="18.0" customHeight="1"/>
    <row r="493" ht="18.0" customHeight="1"/>
    <row r="494" ht="18.0" customHeight="1"/>
    <row r="495" ht="18.0" customHeight="1"/>
    <row r="496" ht="18.0" customHeight="1"/>
    <row r="497" ht="18.0" customHeight="1"/>
    <row r="498" ht="18.0" customHeight="1"/>
    <row r="499" ht="18.0" customHeight="1"/>
    <row r="500" ht="18.0" customHeight="1"/>
    <row r="501" ht="18.0" customHeight="1"/>
    <row r="502" ht="18.0" customHeight="1"/>
    <row r="503" ht="18.0" customHeight="1"/>
    <row r="504" ht="18.0" customHeight="1"/>
    <row r="505" ht="18.0" customHeight="1"/>
    <row r="506" ht="18.0" customHeight="1"/>
    <row r="507" ht="18.0" customHeight="1"/>
    <row r="508" ht="18.0" customHeight="1"/>
    <row r="509" ht="18.0" customHeight="1"/>
    <row r="510" ht="18.0" customHeight="1"/>
    <row r="511" ht="18.0" customHeight="1"/>
    <row r="512" ht="18.0" customHeight="1"/>
    <row r="513" ht="18.0" customHeight="1"/>
    <row r="514" ht="18.0" customHeight="1"/>
    <row r="515" ht="18.0" customHeight="1"/>
    <row r="516" ht="18.0" customHeight="1"/>
    <row r="517" ht="18.0" customHeight="1"/>
    <row r="518" ht="18.0" customHeight="1"/>
    <row r="519" ht="18.0" customHeight="1"/>
    <row r="520" ht="18.0" customHeight="1"/>
    <row r="521" ht="18.0" customHeight="1"/>
    <row r="522" ht="18.0" customHeight="1"/>
    <row r="523" ht="18.0" customHeight="1"/>
    <row r="524" ht="18.0" customHeight="1"/>
    <row r="525" ht="18.0" customHeight="1"/>
    <row r="526" ht="18.0" customHeight="1"/>
    <row r="527" ht="18.0" customHeight="1"/>
    <row r="528" ht="18.0" customHeight="1"/>
    <row r="529" ht="18.0" customHeight="1"/>
    <row r="530" ht="18.0" customHeight="1"/>
    <row r="531" ht="18.0" customHeight="1"/>
    <row r="532" ht="18.0" customHeight="1"/>
    <row r="533" ht="18.0" customHeight="1"/>
    <row r="534" ht="18.0" customHeight="1"/>
    <row r="535" ht="18.0" customHeight="1"/>
    <row r="536" ht="18.0" customHeight="1"/>
    <row r="537" ht="18.0" customHeight="1"/>
    <row r="538" ht="18.0" customHeight="1"/>
    <row r="539" ht="18.0" customHeight="1"/>
    <row r="540" ht="18.0" customHeight="1"/>
    <row r="541" ht="18.0" customHeight="1"/>
    <row r="542" ht="18.0" customHeight="1"/>
    <row r="543" ht="18.0" customHeight="1"/>
    <row r="544" ht="18.0" customHeight="1"/>
    <row r="545" ht="18.0" customHeight="1"/>
    <row r="546" ht="18.0" customHeight="1"/>
    <row r="547" ht="18.0" customHeight="1"/>
    <row r="548" ht="18.0" customHeight="1"/>
    <row r="549" ht="18.0" customHeight="1"/>
    <row r="550" ht="18.0" customHeight="1"/>
    <row r="551" ht="18.0" customHeight="1"/>
    <row r="552" ht="18.0" customHeight="1"/>
    <row r="553" ht="18.0" customHeight="1"/>
    <row r="554" ht="18.0" customHeight="1"/>
    <row r="555" ht="18.0" customHeight="1"/>
    <row r="556" ht="18.0" customHeight="1"/>
    <row r="557" ht="18.0" customHeight="1"/>
    <row r="558" ht="18.0" customHeight="1"/>
    <row r="559" ht="18.0" customHeight="1"/>
    <row r="560" ht="18.0" customHeight="1"/>
    <row r="561" ht="18.0" customHeight="1"/>
    <row r="562" ht="18.0" customHeight="1"/>
    <row r="563" ht="18.0" customHeight="1"/>
    <row r="564" ht="18.0" customHeight="1"/>
    <row r="565" ht="18.0" customHeight="1"/>
    <row r="566" ht="18.0" customHeight="1"/>
    <row r="567" ht="18.0" customHeight="1"/>
    <row r="568" ht="18.0" customHeight="1"/>
    <row r="569" ht="18.0" customHeight="1"/>
    <row r="570" ht="18.0" customHeight="1"/>
    <row r="571" ht="18.0" customHeight="1"/>
    <row r="572" ht="18.0" customHeight="1"/>
    <row r="573" ht="18.0" customHeight="1"/>
    <row r="574" ht="18.0" customHeight="1"/>
    <row r="575" ht="18.0" customHeight="1"/>
    <row r="576" ht="18.0" customHeight="1"/>
    <row r="577" ht="18.0" customHeight="1"/>
    <row r="578" ht="18.0" customHeight="1"/>
    <row r="579" ht="18.0" customHeight="1"/>
    <row r="580" ht="18.0" customHeight="1"/>
    <row r="581" ht="18.0" customHeight="1"/>
    <row r="582" ht="18.0" customHeight="1"/>
    <row r="583" ht="18.0" customHeight="1"/>
    <row r="584" ht="18.0" customHeight="1"/>
    <row r="585" ht="18.0" customHeight="1"/>
    <row r="586" ht="18.0" customHeight="1"/>
    <row r="587" ht="18.0" customHeight="1"/>
    <row r="588" ht="18.0" customHeight="1"/>
    <row r="589" ht="18.0" customHeight="1"/>
    <row r="590" ht="18.0" customHeight="1"/>
    <row r="591" ht="18.0" customHeight="1"/>
    <row r="592" ht="18.0" customHeight="1"/>
    <row r="593" ht="18.0" customHeight="1"/>
    <row r="594" ht="18.0" customHeight="1"/>
    <row r="595" ht="18.0" customHeight="1"/>
    <row r="596" ht="18.0" customHeight="1"/>
    <row r="597" ht="18.0" customHeight="1"/>
    <row r="598" ht="18.0" customHeight="1"/>
    <row r="599" ht="18.0" customHeight="1"/>
    <row r="600" ht="18.0" customHeight="1"/>
    <row r="601" ht="18.0" customHeight="1"/>
    <row r="602" ht="18.0" customHeight="1"/>
    <row r="603" ht="18.0" customHeight="1"/>
    <row r="604" ht="18.0" customHeight="1"/>
    <row r="605" ht="18.0" customHeight="1"/>
    <row r="606" ht="18.0" customHeight="1"/>
    <row r="607" ht="18.0" customHeight="1"/>
    <row r="608" ht="18.0" customHeight="1"/>
    <row r="609" ht="18.0" customHeight="1"/>
    <row r="610" ht="18.0" customHeight="1"/>
    <row r="611" ht="18.0" customHeight="1"/>
    <row r="612" ht="18.0" customHeight="1"/>
    <row r="613" ht="18.0" customHeight="1"/>
    <row r="614" ht="18.0" customHeight="1"/>
    <row r="615" ht="18.0" customHeight="1"/>
    <row r="616" ht="18.0" customHeight="1"/>
    <row r="617" ht="18.0" customHeight="1"/>
    <row r="618" ht="18.0" customHeight="1"/>
    <row r="619" ht="18.0" customHeight="1"/>
    <row r="620" ht="18.0" customHeight="1"/>
    <row r="621" ht="18.0" customHeight="1"/>
    <row r="622" ht="18.0" customHeight="1"/>
    <row r="623" ht="18.0" customHeight="1"/>
    <row r="624" ht="18.0" customHeight="1"/>
    <row r="625" ht="18.0" customHeight="1"/>
    <row r="626" ht="18.0" customHeight="1"/>
    <row r="627" ht="18.0" customHeight="1"/>
    <row r="628" ht="18.0" customHeight="1"/>
    <row r="629" ht="18.0" customHeight="1"/>
    <row r="630" ht="18.0" customHeight="1"/>
    <row r="631" ht="18.0" customHeight="1"/>
    <row r="632" ht="18.0" customHeight="1"/>
    <row r="633" ht="18.0" customHeight="1"/>
    <row r="634" ht="18.0" customHeight="1"/>
    <row r="635" ht="18.0" customHeight="1"/>
    <row r="636" ht="18.0" customHeight="1"/>
    <row r="637" ht="18.0" customHeight="1"/>
    <row r="638" ht="18.0" customHeight="1"/>
    <row r="639" ht="18.0" customHeight="1"/>
    <row r="640" ht="18.0" customHeight="1"/>
    <row r="641" ht="18.0" customHeight="1"/>
    <row r="642" ht="18.0" customHeight="1"/>
    <row r="643" ht="18.0" customHeight="1"/>
    <row r="644" ht="18.0" customHeight="1"/>
    <row r="645" ht="18.0" customHeight="1"/>
    <row r="646" ht="18.0" customHeight="1"/>
    <row r="647" ht="18.0" customHeight="1"/>
    <row r="648" ht="18.0" customHeight="1"/>
    <row r="649" ht="18.0" customHeight="1"/>
    <row r="650" ht="18.0" customHeight="1"/>
    <row r="651" ht="18.0" customHeight="1"/>
    <row r="652" ht="18.0" customHeight="1"/>
    <row r="653" ht="18.0" customHeight="1"/>
    <row r="654" ht="18.0" customHeight="1"/>
    <row r="655" ht="18.0" customHeight="1"/>
    <row r="656" ht="18.0" customHeight="1"/>
    <row r="657" ht="18.0" customHeight="1"/>
    <row r="658" ht="18.0" customHeight="1"/>
    <row r="659" ht="18.0" customHeight="1"/>
    <row r="660" ht="18.0" customHeight="1"/>
    <row r="661" ht="18.0" customHeight="1"/>
    <row r="662" ht="18.0" customHeight="1"/>
    <row r="663" ht="18.0" customHeight="1"/>
    <row r="664" ht="18.0" customHeight="1"/>
    <row r="665" ht="18.0" customHeight="1"/>
    <row r="666" ht="18.0" customHeight="1"/>
    <row r="667" ht="18.0" customHeight="1"/>
    <row r="668" ht="18.0" customHeight="1"/>
    <row r="669" ht="18.0" customHeight="1"/>
    <row r="670" ht="18.0" customHeight="1"/>
    <row r="671" ht="18.0" customHeight="1"/>
    <row r="672" ht="18.0" customHeight="1"/>
    <row r="673" ht="18.0" customHeight="1"/>
    <row r="674" ht="18.0" customHeight="1"/>
    <row r="675" ht="18.0" customHeight="1"/>
    <row r="676" ht="18.0" customHeight="1"/>
    <row r="677" ht="18.0" customHeight="1"/>
    <row r="678" ht="18.0" customHeight="1"/>
    <row r="679" ht="18.0" customHeight="1"/>
    <row r="680" ht="18.0" customHeight="1"/>
    <row r="681" ht="18.0" customHeight="1"/>
    <row r="682" ht="18.0" customHeight="1"/>
    <row r="683" ht="18.0" customHeight="1"/>
    <row r="684" ht="18.0" customHeight="1"/>
    <row r="685" ht="18.0" customHeight="1"/>
    <row r="686" ht="18.0" customHeight="1"/>
    <row r="687" ht="18.0" customHeight="1"/>
    <row r="688" ht="18.0" customHeight="1"/>
    <row r="689" ht="18.0" customHeight="1"/>
    <row r="690" ht="18.0" customHeight="1"/>
    <row r="691" ht="18.0" customHeight="1"/>
    <row r="692" ht="18.0" customHeight="1"/>
    <row r="693" ht="18.0" customHeight="1"/>
    <row r="694" ht="18.0" customHeight="1"/>
    <row r="695" ht="18.0" customHeight="1"/>
    <row r="696" ht="18.0" customHeight="1"/>
    <row r="697" ht="18.0" customHeight="1"/>
    <row r="698" ht="18.0" customHeight="1"/>
    <row r="699" ht="18.0" customHeight="1"/>
    <row r="700" ht="18.0" customHeight="1"/>
    <row r="701" ht="18.0" customHeight="1"/>
    <row r="702" ht="18.0" customHeight="1"/>
    <row r="703" ht="18.0" customHeight="1"/>
    <row r="704" ht="18.0" customHeight="1"/>
    <row r="705" ht="18.0" customHeight="1"/>
    <row r="706" ht="18.0" customHeight="1"/>
    <row r="707" ht="18.0" customHeight="1"/>
    <row r="708" ht="18.0" customHeight="1"/>
    <row r="709" ht="18.0" customHeight="1"/>
    <row r="710" ht="18.0" customHeight="1"/>
    <row r="711" ht="18.0" customHeight="1"/>
    <row r="712" ht="18.0" customHeight="1"/>
    <row r="713" ht="18.0" customHeight="1"/>
    <row r="714" ht="18.0" customHeight="1"/>
    <row r="715" ht="18.0" customHeight="1"/>
    <row r="716" ht="18.0" customHeight="1"/>
    <row r="717" ht="18.0" customHeight="1"/>
    <row r="718" ht="18.0" customHeight="1"/>
    <row r="719" ht="18.0" customHeight="1"/>
    <row r="720" ht="18.0" customHeight="1"/>
    <row r="721" ht="18.0" customHeight="1"/>
    <row r="722" ht="18.0" customHeight="1"/>
    <row r="723" ht="18.0" customHeight="1"/>
    <row r="724" ht="18.0" customHeight="1"/>
    <row r="725" ht="18.0" customHeight="1"/>
    <row r="726" ht="18.0" customHeight="1"/>
    <row r="727" ht="18.0" customHeight="1"/>
    <row r="728" ht="18.0" customHeight="1"/>
    <row r="729" ht="18.0" customHeight="1"/>
    <row r="730" ht="18.0" customHeight="1"/>
    <row r="731" ht="18.0" customHeight="1"/>
    <row r="732" ht="18.0" customHeight="1"/>
    <row r="733" ht="18.0" customHeight="1"/>
    <row r="734" ht="18.0" customHeight="1"/>
    <row r="735" ht="18.0" customHeight="1"/>
    <row r="736" ht="18.0" customHeight="1"/>
    <row r="737" ht="18.0" customHeight="1"/>
    <row r="738" ht="18.0" customHeight="1"/>
    <row r="739" ht="18.0" customHeight="1"/>
    <row r="740" ht="18.0" customHeight="1"/>
    <row r="741" ht="18.0" customHeight="1"/>
    <row r="742" ht="18.0" customHeight="1"/>
    <row r="743" ht="18.0" customHeight="1"/>
    <row r="744" ht="18.0" customHeight="1"/>
    <row r="745" ht="18.0" customHeight="1"/>
    <row r="746" ht="18.0" customHeight="1"/>
    <row r="747" ht="18.0" customHeight="1"/>
    <row r="748" ht="18.0" customHeight="1"/>
    <row r="749" ht="18.0" customHeight="1"/>
    <row r="750" ht="18.0" customHeight="1"/>
    <row r="751" ht="18.0" customHeight="1"/>
    <row r="752" ht="18.0" customHeight="1"/>
    <row r="753" ht="18.0" customHeight="1"/>
    <row r="754" ht="18.0" customHeight="1"/>
    <row r="755" ht="18.0" customHeight="1"/>
    <row r="756" ht="18.0" customHeight="1"/>
    <row r="757" ht="18.0" customHeight="1"/>
    <row r="758" ht="18.0" customHeight="1"/>
    <row r="759" ht="18.0" customHeight="1"/>
    <row r="760" ht="18.0" customHeight="1"/>
    <row r="761" ht="18.0" customHeight="1"/>
    <row r="762" ht="18.0" customHeight="1"/>
    <row r="763" ht="18.0" customHeight="1"/>
    <row r="764" ht="18.0" customHeight="1"/>
    <row r="765" ht="18.0" customHeight="1"/>
    <row r="766" ht="18.0" customHeight="1"/>
    <row r="767" ht="18.0" customHeight="1"/>
    <row r="768" ht="18.0" customHeight="1"/>
    <row r="769" ht="18.0" customHeight="1"/>
    <row r="770" ht="18.0" customHeight="1"/>
    <row r="771" ht="18.0" customHeight="1"/>
    <row r="772" ht="18.0" customHeight="1"/>
    <row r="773" ht="18.0" customHeight="1"/>
    <row r="774" ht="18.0" customHeight="1"/>
    <row r="775" ht="18.0" customHeight="1"/>
    <row r="776" ht="18.0" customHeight="1"/>
    <row r="777" ht="18.0" customHeight="1"/>
    <row r="778" ht="18.0" customHeight="1"/>
    <row r="779" ht="18.0" customHeight="1"/>
    <row r="780" ht="18.0" customHeight="1"/>
    <row r="781" ht="18.0" customHeight="1"/>
    <row r="782" ht="18.0" customHeight="1"/>
    <row r="783" ht="18.0" customHeight="1"/>
    <row r="784" ht="18.0" customHeight="1"/>
    <row r="785" ht="18.0" customHeight="1"/>
    <row r="786" ht="18.0" customHeight="1"/>
    <row r="787" ht="18.0" customHeight="1"/>
    <row r="788" ht="18.0" customHeight="1"/>
    <row r="789" ht="18.0" customHeight="1"/>
    <row r="790" ht="18.0" customHeight="1"/>
    <row r="791" ht="18.0" customHeight="1"/>
    <row r="792" ht="18.0" customHeight="1"/>
    <row r="793" ht="18.0" customHeight="1"/>
    <row r="794" ht="18.0" customHeight="1"/>
    <row r="795" ht="18.0" customHeight="1"/>
    <row r="796" ht="18.0" customHeight="1"/>
    <row r="797" ht="18.0" customHeight="1"/>
    <row r="798" ht="18.0" customHeight="1"/>
    <row r="799" ht="18.0" customHeight="1"/>
    <row r="800" ht="18.0" customHeight="1"/>
    <row r="801" ht="18.0" customHeight="1"/>
    <row r="802" ht="18.0" customHeight="1"/>
    <row r="803" ht="18.0" customHeight="1"/>
    <row r="804" ht="18.0" customHeight="1"/>
    <row r="805" ht="18.0" customHeight="1"/>
    <row r="806" ht="18.0" customHeight="1"/>
    <row r="807" ht="18.0" customHeight="1"/>
    <row r="808" ht="18.0" customHeight="1"/>
    <row r="809" ht="18.0" customHeight="1"/>
    <row r="810" ht="18.0" customHeight="1"/>
    <row r="811" ht="18.0" customHeight="1"/>
    <row r="812" ht="18.0" customHeight="1"/>
    <row r="813" ht="18.0" customHeight="1"/>
    <row r="814" ht="18.0" customHeight="1"/>
    <row r="815" ht="18.0" customHeight="1"/>
    <row r="816" ht="18.0" customHeight="1"/>
    <row r="817" ht="18.0" customHeight="1"/>
    <row r="818" ht="18.0" customHeight="1"/>
    <row r="819" ht="18.0" customHeight="1"/>
    <row r="820" ht="18.0" customHeight="1"/>
    <row r="821" ht="18.0" customHeight="1"/>
    <row r="822" ht="18.0" customHeight="1"/>
    <row r="823" ht="18.0" customHeight="1"/>
    <row r="824" ht="18.0" customHeight="1"/>
    <row r="825" ht="18.0" customHeight="1"/>
    <row r="826" ht="18.0" customHeight="1"/>
    <row r="827" ht="18.0" customHeight="1"/>
    <row r="828" ht="18.0" customHeight="1"/>
    <row r="829" ht="18.0" customHeight="1"/>
    <row r="830" ht="18.0" customHeight="1"/>
    <row r="831" ht="18.0" customHeight="1"/>
    <row r="832" ht="18.0" customHeight="1"/>
    <row r="833" ht="18.0" customHeight="1"/>
    <row r="834" ht="18.0" customHeight="1"/>
    <row r="835" ht="18.0" customHeight="1"/>
    <row r="836" ht="18.0" customHeight="1"/>
    <row r="837" ht="18.0" customHeight="1"/>
    <row r="838" ht="18.0" customHeight="1"/>
    <row r="839" ht="18.0" customHeight="1"/>
    <row r="840" ht="18.0" customHeight="1"/>
    <row r="841" ht="18.0" customHeight="1"/>
    <row r="842" ht="18.0" customHeight="1"/>
    <row r="843" ht="18.0" customHeight="1"/>
    <row r="844" ht="18.0" customHeight="1"/>
    <row r="845" ht="18.0" customHeight="1"/>
    <row r="846" ht="18.0" customHeight="1"/>
    <row r="847" ht="18.0" customHeight="1"/>
    <row r="848" ht="18.0" customHeight="1"/>
    <row r="849" ht="18.0" customHeight="1"/>
    <row r="850" ht="18.0" customHeight="1"/>
    <row r="851" ht="18.0" customHeight="1"/>
    <row r="852" ht="18.0" customHeight="1"/>
    <row r="853" ht="18.0" customHeight="1"/>
    <row r="854" ht="18.0" customHeight="1"/>
    <row r="855" ht="18.0" customHeight="1"/>
    <row r="856" ht="18.0" customHeight="1"/>
    <row r="857" ht="18.0" customHeight="1"/>
    <row r="858" ht="18.0" customHeight="1"/>
    <row r="859" ht="18.0" customHeight="1"/>
    <row r="860" ht="18.0" customHeight="1"/>
    <row r="861" ht="18.0" customHeight="1"/>
    <row r="862" ht="18.0" customHeight="1"/>
    <row r="863" ht="18.0" customHeight="1"/>
    <row r="864" ht="18.0" customHeight="1"/>
    <row r="865" ht="18.0" customHeight="1"/>
    <row r="866" ht="18.0" customHeight="1"/>
    <row r="867" ht="18.0" customHeight="1"/>
    <row r="868" ht="18.0" customHeight="1"/>
    <row r="869" ht="18.0" customHeight="1"/>
    <row r="870" ht="18.0" customHeight="1"/>
    <row r="871" ht="18.0" customHeight="1"/>
    <row r="872" ht="18.0" customHeight="1"/>
    <row r="873" ht="18.0" customHeight="1"/>
    <row r="874" ht="18.0" customHeight="1"/>
    <row r="875" ht="18.0" customHeight="1"/>
    <row r="876" ht="18.0" customHeight="1"/>
    <row r="877" ht="18.0" customHeight="1"/>
    <row r="878" ht="18.0" customHeight="1"/>
    <row r="879" ht="18.0" customHeight="1"/>
    <row r="880" ht="18.0" customHeight="1"/>
    <row r="881" ht="18.0" customHeight="1"/>
    <row r="882" ht="18.0" customHeight="1"/>
    <row r="883" ht="18.0" customHeight="1"/>
    <row r="884" ht="18.0" customHeight="1"/>
    <row r="885" ht="18.0" customHeight="1"/>
    <row r="886" ht="18.0" customHeight="1"/>
    <row r="887" ht="18.0" customHeight="1"/>
    <row r="888" ht="18.0" customHeight="1"/>
    <row r="889" ht="18.0" customHeight="1"/>
    <row r="890" ht="18.0" customHeight="1"/>
    <row r="891" ht="18.0" customHeight="1"/>
    <row r="892" ht="18.0" customHeight="1"/>
    <row r="893" ht="18.0" customHeight="1"/>
    <row r="894" ht="18.0" customHeight="1"/>
    <row r="895" ht="18.0" customHeight="1"/>
    <row r="896" ht="18.0" customHeight="1"/>
    <row r="897" ht="18.0" customHeight="1"/>
    <row r="898" ht="18.0" customHeight="1"/>
    <row r="899" ht="18.0" customHeight="1"/>
    <row r="900" ht="18.0" customHeight="1"/>
    <row r="901" ht="18.0" customHeight="1"/>
    <row r="902" ht="18.0" customHeight="1"/>
    <row r="903" ht="18.0" customHeight="1"/>
    <row r="904" ht="18.0" customHeight="1"/>
    <row r="905" ht="18.0" customHeight="1"/>
    <row r="906" ht="18.0" customHeight="1"/>
    <row r="907" ht="18.0" customHeight="1"/>
    <row r="908" ht="18.0" customHeight="1"/>
    <row r="909" ht="18.0" customHeight="1"/>
    <row r="910" ht="18.0" customHeight="1"/>
    <row r="911" ht="18.0" customHeight="1"/>
    <row r="912" ht="18.0" customHeight="1"/>
    <row r="913" ht="18.0" customHeight="1"/>
    <row r="914" ht="18.0" customHeight="1"/>
    <row r="915" ht="18.0" customHeight="1"/>
    <row r="916" ht="18.0" customHeight="1"/>
    <row r="917" ht="18.0" customHeight="1"/>
    <row r="918" ht="18.0" customHeight="1"/>
    <row r="919" ht="18.0" customHeight="1"/>
    <row r="920" ht="18.0" customHeight="1"/>
    <row r="921" ht="18.0" customHeight="1"/>
    <row r="922" ht="18.0" customHeight="1"/>
    <row r="923" ht="18.0" customHeight="1"/>
    <row r="924" ht="18.0" customHeight="1"/>
    <row r="925" ht="18.0" customHeight="1"/>
    <row r="926" ht="18.0" customHeight="1"/>
    <row r="927" ht="18.0" customHeight="1"/>
    <row r="928" ht="18.0" customHeight="1"/>
    <row r="929" ht="18.0" customHeight="1"/>
    <row r="930" ht="18.0" customHeight="1"/>
    <row r="931" ht="18.0" customHeight="1"/>
    <row r="932" ht="18.0" customHeight="1"/>
    <row r="933" ht="18.0" customHeight="1"/>
    <row r="934" ht="18.0" customHeight="1"/>
    <row r="935" ht="18.0" customHeight="1"/>
    <row r="936" ht="18.0" customHeight="1"/>
    <row r="937" ht="18.0" customHeight="1"/>
    <row r="938" ht="18.0" customHeight="1"/>
    <row r="939" ht="18.0" customHeight="1"/>
    <row r="940" ht="18.0" customHeight="1"/>
    <row r="941" ht="18.0" customHeight="1"/>
    <row r="942" ht="18.0" customHeight="1"/>
    <row r="943" ht="18.0" customHeight="1"/>
    <row r="944" ht="18.0" customHeight="1"/>
    <row r="945" ht="18.0" customHeight="1"/>
    <row r="946" ht="18.0" customHeight="1"/>
    <row r="947" ht="18.0" customHeight="1"/>
    <row r="948" ht="18.0" customHeight="1"/>
    <row r="949" ht="18.0" customHeight="1"/>
    <row r="950" ht="18.0" customHeight="1"/>
    <row r="951" ht="18.0" customHeight="1"/>
    <row r="952" ht="18.0" customHeight="1"/>
    <row r="953" ht="18.0" customHeight="1"/>
    <row r="954" ht="18.0" customHeight="1"/>
    <row r="955" ht="18.0" customHeight="1"/>
    <row r="956" ht="18.0" customHeight="1"/>
    <row r="957" ht="18.0" customHeight="1"/>
    <row r="958" ht="18.0" customHeight="1"/>
    <row r="959" ht="18.0" customHeight="1"/>
    <row r="960" ht="18.0" customHeight="1"/>
    <row r="961" ht="18.0" customHeight="1"/>
    <row r="962" ht="18.0" customHeight="1"/>
    <row r="963" ht="18.0" customHeight="1"/>
    <row r="964" ht="18.0" customHeight="1"/>
    <row r="965" ht="18.0" customHeight="1"/>
    <row r="966" ht="18.0" customHeight="1"/>
    <row r="967" ht="18.0" customHeight="1"/>
    <row r="968" ht="18.0" customHeight="1"/>
    <row r="969" ht="18.0" customHeight="1"/>
    <row r="970" ht="18.0" customHeight="1"/>
    <row r="971" ht="18.0" customHeight="1"/>
    <row r="972" ht="18.0" customHeight="1"/>
    <row r="973" ht="18.0" customHeight="1"/>
    <row r="974" ht="18.0" customHeight="1"/>
    <row r="975" ht="18.0" customHeight="1"/>
    <row r="976" ht="18.0" customHeight="1"/>
    <row r="977" ht="18.0" customHeight="1"/>
    <row r="978" ht="18.0" customHeight="1"/>
    <row r="979" ht="18.0" customHeight="1"/>
    <row r="980" ht="18.0" customHeight="1"/>
    <row r="981" ht="18.0" customHeight="1"/>
    <row r="982" ht="18.0" customHeight="1"/>
    <row r="983" ht="18.0" customHeight="1"/>
    <row r="984" ht="18.0" customHeight="1"/>
    <row r="985" ht="18.0" customHeight="1"/>
    <row r="986" ht="18.0" customHeight="1"/>
    <row r="987" ht="18.0" customHeight="1"/>
    <row r="988" ht="18.0" customHeight="1"/>
    <row r="989" ht="18.0" customHeight="1"/>
    <row r="990" ht="18.0" customHeight="1"/>
    <row r="991" ht="18.0" customHeight="1"/>
    <row r="992" ht="18.0" customHeight="1"/>
    <row r="993" ht="18.0" customHeight="1"/>
    <row r="994" ht="18.0" customHeight="1"/>
    <row r="995" ht="18.0" customHeight="1"/>
    <row r="996" ht="18.0" customHeight="1"/>
    <row r="997" ht="18.0" customHeight="1"/>
    <row r="998" ht="18.0" customHeight="1"/>
    <row r="999" ht="18.0" customHeight="1"/>
    <row r="1000" ht="18.0" customHeight="1"/>
  </sheetData>
  <mergeCells count="7">
    <mergeCell ref="C16:C32"/>
    <mergeCell ref="P28:R28"/>
    <mergeCell ref="C33:C36"/>
    <mergeCell ref="E37:G37"/>
    <mergeCell ref="E38:G38"/>
    <mergeCell ref="P38:Q38"/>
    <mergeCell ref="P43:Q43"/>
  </mergeCells>
  <conditionalFormatting sqref="D3 P4:R4 W31:W37">
    <cfRule type="cellIs" dxfId="0" priority="1" operator="equal">
      <formula>0</formula>
    </cfRule>
  </conditionalFormatting>
  <conditionalFormatting sqref="E15:M1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6:L17">
    <cfRule type="cellIs" dxfId="0" priority="3" operator="equal">
      <formula>0</formula>
    </cfRule>
  </conditionalFormatting>
  <conditionalFormatting sqref="E19:L20">
    <cfRule type="cellIs" dxfId="0" priority="4" operator="equal">
      <formula>0</formula>
    </cfRule>
  </conditionalFormatting>
  <conditionalFormatting sqref="E28:L29">
    <cfRule type="cellIs" dxfId="0" priority="5" operator="equal">
      <formula>0</formula>
    </cfRule>
  </conditionalFormatting>
  <conditionalFormatting sqref="T14:T25">
    <cfRule type="cellIs" dxfId="0" priority="6" operator="equal">
      <formula>"WEEKDAY($G$4) = 3"</formula>
    </cfRule>
  </conditionalFormatting>
  <conditionalFormatting sqref="W13">
    <cfRule type="containsText" dxfId="0" priority="7" operator="containsText" text="Fecha">
      <formula>NOT(ISERROR(SEARCH(("Fecha"),(W13))))</formula>
    </cfRule>
  </conditionalFormatting>
  <conditionalFormatting sqref="W41">
    <cfRule type="cellIs" dxfId="0" priority="8" operator="equal">
      <formula>0</formula>
    </cfRule>
  </conditionalFormatting>
  <conditionalFormatting sqref="D4">
    <cfRule type="cellIs" dxfId="0" priority="9" operator="equal">
      <formula>0</formula>
    </cfRule>
  </conditionalFormatting>
  <conditionalFormatting sqref="E22:L23">
    <cfRule type="cellIs" dxfId="0" priority="10" operator="equal">
      <formula>0</formula>
    </cfRule>
  </conditionalFormatting>
  <conditionalFormatting sqref="E25:L26">
    <cfRule type="cellIs" dxfId="0" priority="11" operator="equal">
      <formula>0</formula>
    </cfRule>
  </conditionalFormatting>
  <conditionalFormatting sqref="E32:L32">
    <cfRule type="cellIs" dxfId="0" priority="12" operator="equal">
      <formula>0</formula>
    </cfRule>
  </conditionalFormatting>
  <conditionalFormatting sqref="E36:L36">
    <cfRule type="cellIs" dxfId="0" priority="13" operator="equal">
      <formula>0</formula>
    </cfRule>
  </conditionalFormatting>
  <conditionalFormatting sqref="T31:T37">
    <cfRule type="cellIs" dxfId="0" priority="14" operator="equal">
      <formula>0</formula>
    </cfRule>
  </conditionalFormatting>
  <conditionalFormatting sqref="T41">
    <cfRule type="cellIs" dxfId="0" priority="15" operator="equal">
      <formula>0</formula>
    </cfRule>
  </conditionalFormatting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2015-06-05T18:17:20Z</dcterms:created>
  <dc:creator>Gedeonp s</dc:creator>
</cp:coreProperties>
</file>